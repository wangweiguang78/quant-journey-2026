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_输入与假设" sheetId="1" state="visible" r:id="rId3"/>
    <sheet name="2_5年预测" sheetId="2" state="visible" r:id="rId4"/>
    <sheet name="3_SOTP估值" sheetId="3" state="visible" r:id="rId5"/>
    <sheet name="4_价位分析" sheetId="4" state="visible" r:id="rId6"/>
    <sheet name="5_季度跟踪" sheetId="5" state="visible" r:id="rId7"/>
    <sheet name="6_期权价值" sheetId="6" state="visible" r:id="rId8"/>
    <sheet name="7_AI_KPI跟踪" sheetId="7" state="visible" r:id="rId9"/>
    <sheet name="8_概率决策框架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<sst xmlns="http://schemas.openxmlformats.org/spreadsheetml/2006/main" count="591" uniqueCount="486">
  <si>
    <r>
      <rPr>
        <b val="true"/>
        <sz val="14"/>
        <color rgb="FF1F4E79"/>
        <rFont val="Cambria"/>
        <family val="0"/>
        <charset val="1"/>
      </rPr>
      <t xml:space="preserve">Tesla (TSLA) </t>
    </r>
    <r>
      <rPr>
        <b val="true"/>
        <sz val="14"/>
        <color rgb="FF1F4E79"/>
        <rFont val="DejaVu Sans"/>
        <family val="2"/>
      </rPr>
      <t xml:space="preserve">估值锚定模型 </t>
    </r>
    <r>
      <rPr>
        <b val="true"/>
        <sz val="14"/>
        <color rgb="FF1F4E79"/>
        <rFont val="Cambria"/>
        <family val="0"/>
        <charset val="1"/>
      </rPr>
      <t xml:space="preserve">v1.0</t>
    </r>
  </si>
  <si>
    <r>
      <rPr>
        <i val="true"/>
        <sz val="11"/>
        <color rgb="FF808080"/>
        <rFont val="DejaVu Sans"/>
        <family val="2"/>
      </rPr>
      <t xml:space="preserve">方法：</t>
    </r>
    <r>
      <rPr>
        <i val="true"/>
        <sz val="11"/>
        <color rgb="FF808080"/>
        <rFont val="DejaVu Sans"/>
        <family val="2"/>
        <charset val="1"/>
      </rPr>
      <t xml:space="preserve">SOTP </t>
    </r>
    <r>
      <rPr>
        <i val="true"/>
        <sz val="11"/>
        <color rgb="FF808080"/>
        <rFont val="DejaVu Sans"/>
        <family val="2"/>
      </rPr>
      <t xml:space="preserve">双层（主营 </t>
    </r>
    <r>
      <rPr>
        <i val="true"/>
        <sz val="11"/>
        <color rgb="FF808080"/>
        <rFont val="DejaVu Sans"/>
        <family val="2"/>
        <charset val="1"/>
      </rPr>
      <t xml:space="preserve">EV/Sales + </t>
    </r>
    <r>
      <rPr>
        <i val="true"/>
        <sz val="11"/>
        <color rgb="FF808080"/>
        <rFont val="DejaVu Sans"/>
        <family val="2"/>
      </rPr>
      <t xml:space="preserve">期权 </t>
    </r>
    <r>
      <rPr>
        <i val="true"/>
        <sz val="11"/>
        <color rgb="FF808080"/>
        <rFont val="DejaVu Sans"/>
        <family val="2"/>
        <charset val="1"/>
      </rPr>
      <t xml:space="preserve">Real Option</t>
    </r>
    <r>
      <rPr>
        <i val="true"/>
        <sz val="11"/>
        <color rgb="FF808080"/>
        <rFont val="DejaVu Sans"/>
        <family val="2"/>
      </rPr>
      <t xml:space="preserve">）— 沉淀期内的认知建设</t>
    </r>
  </si>
  <si>
    <t xml:space="preserve">一、当前市场数据</t>
  </si>
  <si>
    <r>
      <rPr>
        <sz val="11"/>
        <color theme="1"/>
        <rFont val="DejaVu Sans"/>
        <family val="2"/>
      </rPr>
      <t xml:space="preserve">当前股价 </t>
    </r>
    <r>
      <rPr>
        <sz val="11"/>
        <color theme="1"/>
        <rFont val="DejaVu Sans"/>
        <family val="2"/>
        <charset val="1"/>
      </rPr>
      <t xml:space="preserve">($)</t>
    </r>
  </si>
  <si>
    <r>
      <rPr>
        <sz val="11"/>
        <color theme="1"/>
        <rFont val="Calibri"/>
        <family val="2"/>
        <charset val="1"/>
      </rPr>
      <t xml:space="preserve">2026/05/10 </t>
    </r>
    <r>
      <rPr>
        <sz val="11"/>
        <color theme="1"/>
        <rFont val="DejaVu Sans"/>
        <family val="2"/>
      </rPr>
      <t xml:space="preserve">实时</t>
    </r>
  </si>
  <si>
    <r>
      <rPr>
        <sz val="11"/>
        <color theme="1"/>
        <rFont val="DejaVu Sans"/>
        <family val="2"/>
      </rPr>
      <t xml:space="preserve">流通股本 </t>
    </r>
    <r>
      <rPr>
        <sz val="11"/>
        <color theme="1"/>
        <rFont val="DejaVu Sans"/>
        <family val="2"/>
        <charset val="1"/>
      </rPr>
      <t xml:space="preserve">(Diluted, B)</t>
    </r>
  </si>
  <si>
    <t xml:space="preserve">10-Q Q1 2026 cover</t>
  </si>
  <si>
    <r>
      <rPr>
        <sz val="11"/>
        <color theme="1"/>
        <rFont val="DejaVu Sans"/>
        <family val="2"/>
      </rPr>
      <t xml:space="preserve">当前市值 </t>
    </r>
    <r>
      <rPr>
        <sz val="11"/>
        <color theme="1"/>
        <rFont val="DejaVu Sans"/>
        <family val="2"/>
        <charset val="1"/>
      </rPr>
      <t xml:space="preserve">($B)</t>
    </r>
  </si>
  <si>
    <r>
      <rPr>
        <sz val="11"/>
        <color theme="1"/>
        <rFont val="DejaVu Sans"/>
        <family val="2"/>
      </rPr>
      <t xml:space="preserve">自动 </t>
    </r>
    <r>
      <rPr>
        <sz val="11"/>
        <color theme="1"/>
        <rFont val="DejaVu Sans"/>
        <family val="2"/>
        <charset val="1"/>
      </rPr>
      <t xml:space="preserve">= C7 × C8</t>
    </r>
  </si>
  <si>
    <r>
      <rPr>
        <sz val="11"/>
        <color theme="1"/>
        <rFont val="DejaVu Sans"/>
        <family val="2"/>
      </rPr>
      <t xml:space="preserve">折现率 </t>
    </r>
    <r>
      <rPr>
        <sz val="11"/>
        <color theme="1"/>
        <rFont val="DejaVu Sans"/>
        <family val="2"/>
        <charset val="1"/>
      </rPr>
      <t xml:space="preserve">(WACC)</t>
    </r>
  </si>
  <si>
    <r>
      <rPr>
        <sz val="11"/>
        <color theme="1"/>
        <rFont val="DejaVu Sans"/>
        <family val="2"/>
      </rPr>
      <t xml:space="preserve">默认 </t>
    </r>
    <r>
      <rPr>
        <sz val="11"/>
        <color theme="1"/>
        <rFont val="DejaVu Sans"/>
        <family val="2"/>
        <charset val="1"/>
      </rPr>
      <t xml:space="preserve">10%</t>
    </r>
  </si>
  <si>
    <r>
      <rPr>
        <sz val="11"/>
        <color theme="1"/>
        <rFont val="DejaVu Sans"/>
        <family val="2"/>
      </rPr>
      <t xml:space="preserve">股本年增率 </t>
    </r>
    <r>
      <rPr>
        <sz val="11"/>
        <color theme="1"/>
        <rFont val="DejaVu Sans"/>
        <family val="2"/>
        <charset val="1"/>
      </rPr>
      <t xml:space="preserve">(SBC </t>
    </r>
    <r>
      <rPr>
        <sz val="11"/>
        <color theme="1"/>
        <rFont val="DejaVu Sans"/>
        <family val="2"/>
      </rPr>
      <t xml:space="preserve">稀释 </t>
    </r>
    <r>
      <rPr>
        <sz val="11"/>
        <color theme="1"/>
        <rFont val="DejaVu Sans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回购</t>
    </r>
    <r>
      <rPr>
        <sz val="11"/>
        <color theme="1"/>
        <rFont val="DejaVu Sans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</si>
  <si>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净稀释 </t>
    </r>
    <r>
      <rPr>
        <sz val="11"/>
        <color theme="1"/>
        <rFont val="DejaVu Sans"/>
        <family val="2"/>
        <charset val="1"/>
      </rPr>
      <t xml:space="preserve">~0.5%/</t>
    </r>
    <r>
      <rPr>
        <sz val="11"/>
        <color theme="1"/>
        <rFont val="DejaVu Sans"/>
        <family val="2"/>
      </rPr>
      <t xml:space="preserve">年（</t>
    </r>
    <r>
      <rPr>
        <sz val="11"/>
        <color theme="1"/>
        <rFont val="DejaVu Sans"/>
        <family val="2"/>
        <charset val="1"/>
      </rPr>
      <t xml:space="preserve">SBC vs </t>
    </r>
    <r>
      <rPr>
        <sz val="11"/>
        <color theme="1"/>
        <rFont val="DejaVu Sans"/>
        <family val="2"/>
      </rPr>
      <t xml:space="preserve">暂无回购）</t>
    </r>
  </si>
  <si>
    <r>
      <rPr>
        <sz val="11"/>
        <color theme="1"/>
        <rFont val="Calibri"/>
        <family val="2"/>
        <charset val="1"/>
      </rPr>
      <t xml:space="preserve">FSD </t>
    </r>
    <r>
      <rPr>
        <sz val="11"/>
        <color theme="1"/>
        <rFont val="DejaVu Sans"/>
        <family val="2"/>
      </rPr>
      <t xml:space="preserve">订阅活跃数 </t>
    </r>
    <r>
      <rPr>
        <sz val="11"/>
        <color theme="1"/>
        <rFont val="Calibri"/>
        <family val="2"/>
        <charset val="1"/>
      </rPr>
      <t xml:space="preserve">(M)</t>
    </r>
  </si>
  <si>
    <t xml:space="preserve">Q1 2026: 1.28M, YoY +51%</t>
  </si>
  <si>
    <r>
      <rPr>
        <sz val="11"/>
        <color theme="1"/>
        <rFont val="Calibri"/>
        <family val="2"/>
        <charset val="1"/>
      </rPr>
      <t xml:space="preserve">FSD </t>
    </r>
    <r>
      <rPr>
        <sz val="11"/>
        <color theme="1"/>
        <rFont val="DejaVu Sans"/>
        <family val="2"/>
      </rPr>
      <t xml:space="preserve">月费 </t>
    </r>
    <r>
      <rPr>
        <sz val="11"/>
        <color theme="1"/>
        <rFont val="Calibri"/>
        <family val="2"/>
        <charset val="1"/>
      </rPr>
      <t xml:space="preserve">($)</t>
    </r>
  </si>
  <si>
    <t xml:space="preserve">订阅价</t>
  </si>
  <si>
    <r>
      <rPr>
        <b val="true"/>
        <sz val="12"/>
        <rFont val="DejaVu Sans"/>
        <family val="2"/>
      </rPr>
      <t xml:space="preserve">二、</t>
    </r>
    <r>
      <rPr>
        <b val="true"/>
        <sz val="12"/>
        <rFont val="DejaVu Sans"/>
        <family val="2"/>
        <charset val="1"/>
      </rPr>
      <t xml:space="preserve">TTM </t>
    </r>
    <r>
      <rPr>
        <b val="true"/>
        <sz val="12"/>
        <rFont val="DejaVu Sans"/>
        <family val="2"/>
      </rPr>
      <t xml:space="preserve">营收基线（基于 </t>
    </r>
    <r>
      <rPr>
        <b val="true"/>
        <sz val="12"/>
        <rFont val="DejaVu Sans"/>
        <family val="2"/>
        <charset val="1"/>
      </rPr>
      <t xml:space="preserve">2025-Q1 → 2026-Q1 </t>
    </r>
    <r>
      <rPr>
        <b val="true"/>
        <sz val="12"/>
        <rFont val="DejaVu Sans"/>
        <family val="2"/>
      </rPr>
      <t xml:space="preserve">财报）</t>
    </r>
  </si>
  <si>
    <t xml:space="preserve">业务线</t>
  </si>
  <si>
    <r>
      <rPr>
        <b val="true"/>
        <sz val="11"/>
        <rFont val="Cambria"/>
        <family val="0"/>
        <charset val="1"/>
      </rPr>
      <t xml:space="preserve">TTM </t>
    </r>
    <r>
      <rPr>
        <b val="true"/>
        <sz val="11"/>
        <rFont val="DejaVu Sans"/>
        <family val="2"/>
      </rPr>
      <t xml:space="preserve">营收 </t>
    </r>
    <r>
      <rPr>
        <b val="true"/>
        <sz val="11"/>
        <rFont val="Cambria"/>
        <family val="0"/>
        <charset val="1"/>
      </rPr>
      <t xml:space="preserve">($B)</t>
    </r>
  </si>
  <si>
    <t xml:space="preserve">说明</t>
  </si>
  <si>
    <t xml:space="preserve">数据来源</t>
  </si>
  <si>
    <r>
      <rPr>
        <sz val="11"/>
        <color theme="1"/>
        <rFont val="Calibri"/>
        <family val="2"/>
        <charset val="1"/>
      </rPr>
      <t xml:space="preserve">Auto Sales (</t>
    </r>
    <r>
      <rPr>
        <sz val="11"/>
        <color theme="1"/>
        <rFont val="DejaVu Sans"/>
        <family val="2"/>
      </rPr>
      <t xml:space="preserve">传统车型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</si>
  <si>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含 </t>
    </r>
    <r>
      <rPr>
        <sz val="11"/>
        <color theme="1"/>
        <rFont val="DejaVu Sans"/>
        <family val="2"/>
        <charset val="1"/>
      </rPr>
      <t xml:space="preserve">Model 3/Y/S/X/Cybertruck</t>
    </r>
  </si>
  <si>
    <t xml:space="preserve">Q1 2026 Update PDF</t>
  </si>
  <si>
    <t xml:space="preserve">Auto Regulatory Credits</t>
  </si>
  <si>
    <r>
      <rPr>
        <sz val="11"/>
        <color theme="1"/>
        <rFont val="DejaVu Sans"/>
        <family val="2"/>
      </rPr>
      <t xml:space="preserve">监管 </t>
    </r>
    <r>
      <rPr>
        <sz val="11"/>
        <color theme="1"/>
        <rFont val="DejaVu Sans"/>
        <family val="2"/>
        <charset val="1"/>
      </rPr>
      <t xml:space="preserve">credits, </t>
    </r>
    <r>
      <rPr>
        <sz val="11"/>
        <color theme="1"/>
        <rFont val="DejaVu Sans"/>
        <family val="2"/>
      </rPr>
      <t xml:space="preserve">高利润但萎缩中</t>
    </r>
  </si>
  <si>
    <t xml:space="preserve">Auto Leasing</t>
  </si>
  <si>
    <r>
      <rPr>
        <sz val="11"/>
        <color theme="1"/>
        <rFont val="DejaVu Sans"/>
        <family val="2"/>
      </rPr>
      <t xml:space="preserve">租赁业务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稳定缓退</t>
    </r>
  </si>
  <si>
    <r>
      <rPr>
        <sz val="11"/>
        <color theme="1"/>
        <rFont val="Calibri"/>
        <family val="2"/>
        <charset val="1"/>
      </rPr>
      <t xml:space="preserve">Energy (</t>
    </r>
    <r>
      <rPr>
        <sz val="11"/>
        <color theme="1"/>
        <rFont val="DejaVu Sans"/>
        <family val="2"/>
      </rPr>
      <t xml:space="preserve">发电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储能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</si>
  <si>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Megapack/Powerwall, </t>
    </r>
    <r>
      <rPr>
        <sz val="11"/>
        <color theme="1"/>
        <rFont val="DejaVu Sans"/>
        <family val="2"/>
      </rPr>
      <t xml:space="preserve">大客户驱动</t>
    </r>
  </si>
  <si>
    <t xml:space="preserve">Services &amp; Other</t>
  </si>
  <si>
    <r>
      <rPr>
        <sz val="11"/>
        <color theme="1"/>
        <rFont val="DejaVu Sans"/>
        <family val="2"/>
      </rPr>
      <t xml:space="preserve">含 </t>
    </r>
    <r>
      <rPr>
        <sz val="11"/>
        <color theme="1"/>
        <rFont val="DejaVu Sans"/>
        <family val="2"/>
        <charset val="1"/>
      </rPr>
      <t xml:space="preserve">Supercharging/FSD </t>
    </r>
    <r>
      <rPr>
        <sz val="11"/>
        <color theme="1"/>
        <rFont val="DejaVu Sans"/>
        <family val="2"/>
      </rPr>
      <t xml:space="preserve">订阅</t>
    </r>
    <r>
      <rPr>
        <sz val="11"/>
        <color theme="1"/>
        <rFont val="DejaVu Sans"/>
        <family val="2"/>
        <charset val="1"/>
      </rPr>
      <t xml:space="preserve">/Insurance/Parts</t>
    </r>
  </si>
  <si>
    <r>
      <rPr>
        <b val="true"/>
        <sz val="11"/>
        <rFont val="DejaVu Sans"/>
        <family val="2"/>
      </rPr>
      <t xml:space="preserve">合计 </t>
    </r>
    <r>
      <rPr>
        <b val="true"/>
        <sz val="11"/>
        <rFont val="DejaVu Sans"/>
        <family val="2"/>
        <charset val="1"/>
      </rPr>
      <t xml:space="preserve">TTM</t>
    </r>
  </si>
  <si>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DejaVu Sans"/>
        <family val="2"/>
      </rPr>
      <t xml:space="preserve">财报 </t>
    </r>
    <r>
      <rPr>
        <sz val="11"/>
        <color theme="1"/>
        <rFont val="Calibri"/>
        <family val="2"/>
        <charset val="1"/>
      </rPr>
      <t xml:space="preserve">TTM $97.88B</t>
    </r>
  </si>
  <si>
    <r>
      <rPr>
        <b val="true"/>
        <sz val="12"/>
        <rFont val="DejaVu Sans"/>
        <family val="2"/>
      </rPr>
      <t xml:space="preserve">三、三情景 </t>
    </r>
    <r>
      <rPr>
        <b val="true"/>
        <sz val="12"/>
        <rFont val="DejaVu Sans"/>
        <family val="2"/>
        <charset val="1"/>
      </rPr>
      <t xml:space="preserve">CAGR </t>
    </r>
    <r>
      <rPr>
        <b val="true"/>
        <sz val="12"/>
        <rFont val="DejaVu Sans"/>
        <family val="2"/>
      </rPr>
      <t xml:space="preserve">假设（基本面维度，</t>
    </r>
    <r>
      <rPr>
        <b val="true"/>
        <sz val="12"/>
        <rFont val="DejaVu Sans"/>
        <family val="2"/>
        <charset val="1"/>
      </rPr>
      <t xml:space="preserve">5 </t>
    </r>
    <r>
      <rPr>
        <b val="true"/>
        <sz val="12"/>
        <rFont val="DejaVu Sans"/>
        <family val="2"/>
      </rPr>
      <t xml:space="preserve">年 </t>
    </r>
    <r>
      <rPr>
        <b val="true"/>
        <sz val="12"/>
        <rFont val="DejaVu Sans"/>
        <family val="2"/>
        <charset val="1"/>
      </rPr>
      <t xml:space="preserve">2026 → 2031</t>
    </r>
    <r>
      <rPr>
        <b val="true"/>
        <sz val="12"/>
        <rFont val="DejaVu Sans"/>
        <family val="2"/>
      </rPr>
      <t xml:space="preserve">）</t>
    </r>
  </si>
  <si>
    <t xml:space="preserve">Bear CAGR</t>
  </si>
  <si>
    <t xml:space="preserve">Base CAGR</t>
  </si>
  <si>
    <t xml:space="preserve">Bull CAGR</t>
  </si>
  <si>
    <r>
      <rPr>
        <b val="true"/>
        <sz val="11"/>
        <rFont val="DejaVu Sans"/>
        <family val="2"/>
      </rPr>
      <t xml:space="preserve">说明 </t>
    </r>
    <r>
      <rPr>
        <b val="true"/>
        <sz val="11"/>
        <rFont val="DejaVu Sans"/>
        <family val="2"/>
        <charset val="1"/>
      </rPr>
      <t xml:space="preserve">/ </t>
    </r>
    <r>
      <rPr>
        <b val="true"/>
        <sz val="11"/>
        <rFont val="DejaVu Sans"/>
        <family val="2"/>
      </rPr>
      <t xml:space="preserve">驱动逻辑</t>
    </r>
  </si>
  <si>
    <t xml:space="preserve">Auto Sales</t>
  </si>
  <si>
    <r>
      <rPr>
        <sz val="11"/>
        <color theme="1"/>
        <rFont val="Calibri"/>
        <family val="2"/>
        <charset val="1"/>
      </rPr>
      <t xml:space="preserve">Bull: </t>
    </r>
    <r>
      <rPr>
        <sz val="11"/>
        <color theme="1"/>
        <rFont val="DejaVu Sans"/>
        <family val="2"/>
      </rPr>
      <t xml:space="preserve">经济车型 </t>
    </r>
    <r>
      <rPr>
        <sz val="11"/>
        <color theme="1"/>
        <rFont val="Calibri"/>
        <family val="2"/>
        <charset val="1"/>
      </rPr>
      <t xml:space="preserve">+ Cybercab </t>
    </r>
    <r>
      <rPr>
        <sz val="11"/>
        <color theme="1"/>
        <rFont val="DejaVu Sans"/>
        <family val="2"/>
      </rPr>
      <t xml:space="preserve">量产；</t>
    </r>
    <r>
      <rPr>
        <sz val="11"/>
        <color theme="1"/>
        <rFont val="Calibri"/>
        <family val="2"/>
        <charset val="1"/>
      </rPr>
      <t xml:space="preserve">Base: </t>
    </r>
    <r>
      <rPr>
        <sz val="11"/>
        <color theme="1"/>
        <rFont val="DejaVu Sans"/>
        <family val="2"/>
      </rPr>
      <t xml:space="preserve">平稳扩张；</t>
    </r>
    <r>
      <rPr>
        <sz val="11"/>
        <color theme="1"/>
        <rFont val="Calibri"/>
        <family val="2"/>
        <charset val="1"/>
      </rPr>
      <t xml:space="preserve">Bear: </t>
    </r>
    <r>
      <rPr>
        <sz val="11"/>
        <color theme="1"/>
        <rFont val="DejaVu Sans"/>
        <family val="2"/>
      </rPr>
      <t xml:space="preserve">价格战压力</t>
    </r>
  </si>
  <si>
    <r>
      <rPr>
        <sz val="11"/>
        <color theme="1"/>
        <rFont val="DejaVu Sans"/>
        <family val="2"/>
      </rPr>
      <t xml:space="preserve">联邦补贴退坡，</t>
    </r>
    <r>
      <rPr>
        <sz val="11"/>
        <color theme="1"/>
        <rFont val="DejaVu Sans"/>
        <family val="2"/>
        <charset val="1"/>
      </rPr>
      <t xml:space="preserve">2030 </t>
    </r>
    <r>
      <rPr>
        <sz val="11"/>
        <color theme="1"/>
        <rFont val="DejaVu Sans"/>
        <family val="2"/>
      </rPr>
      <t xml:space="preserve">前可能接近 </t>
    </r>
    <r>
      <rPr>
        <sz val="11"/>
        <color theme="1"/>
        <rFont val="DejaVu Sans"/>
        <family val="2"/>
        <charset val="1"/>
      </rPr>
      <t xml:space="preserve">0</t>
    </r>
  </si>
  <si>
    <t xml:space="preserve">客户偏好购买而非租赁</t>
  </si>
  <si>
    <t xml:space="preserve">Energy</t>
  </si>
  <si>
    <r>
      <rPr>
        <sz val="11"/>
        <color theme="1"/>
        <rFont val="Calibri"/>
        <family val="2"/>
        <charset val="1"/>
      </rPr>
      <t xml:space="preserve">Bull: AI </t>
    </r>
    <r>
      <rPr>
        <sz val="11"/>
        <color theme="1"/>
        <rFont val="DejaVu Sans"/>
        <family val="2"/>
      </rPr>
      <t xml:space="preserve">数据中心爆发需求；</t>
    </r>
    <r>
      <rPr>
        <sz val="11"/>
        <color theme="1"/>
        <rFont val="Calibri"/>
        <family val="2"/>
        <charset val="1"/>
      </rPr>
      <t xml:space="preserve">Base: Megapack 3 + </t>
    </r>
    <r>
      <rPr>
        <sz val="11"/>
        <color theme="1"/>
        <rFont val="DejaVu Sans"/>
        <family val="2"/>
      </rPr>
      <t xml:space="preserve">全球电网；</t>
    </r>
    <r>
      <rPr>
        <sz val="11"/>
        <color theme="1"/>
        <rFont val="Calibri"/>
        <family val="2"/>
        <charset val="1"/>
      </rPr>
      <t xml:space="preserve">Bear: </t>
    </r>
    <r>
      <rPr>
        <sz val="11"/>
        <color theme="1"/>
        <rFont val="DejaVu Sans"/>
        <family val="2"/>
      </rPr>
      <t xml:space="preserve">竞争加剧</t>
    </r>
  </si>
  <si>
    <r>
      <rPr>
        <sz val="11"/>
        <color theme="1"/>
        <rFont val="Calibri"/>
        <family val="2"/>
        <charset val="1"/>
      </rPr>
      <t xml:space="preserve">Bull: FSD </t>
    </r>
    <r>
      <rPr>
        <sz val="11"/>
        <color theme="1"/>
        <rFont val="DejaVu Sans"/>
        <family val="2"/>
      </rPr>
      <t xml:space="preserve">订阅 </t>
    </r>
    <r>
      <rPr>
        <sz val="11"/>
        <color theme="1"/>
        <rFont val="Calibri"/>
        <family val="2"/>
        <charset val="1"/>
      </rPr>
      <t xml:space="preserve">+ Insurance + Supercharging </t>
    </r>
    <r>
      <rPr>
        <sz val="11"/>
        <color theme="1"/>
        <rFont val="DejaVu Sans"/>
        <family val="2"/>
      </rPr>
      <t xml:space="preserve">三引擎；</t>
    </r>
    <r>
      <rPr>
        <sz val="11"/>
        <color theme="1"/>
        <rFont val="Calibri"/>
        <family val="2"/>
        <charset val="1"/>
      </rPr>
      <t xml:space="preserve">Base: FSD </t>
    </r>
    <r>
      <rPr>
        <sz val="11"/>
        <color theme="1"/>
        <rFont val="DejaVu Sans"/>
        <family val="2"/>
      </rPr>
      <t xml:space="preserve">渗透提升</t>
    </r>
  </si>
  <si>
    <r>
      <rPr>
        <b val="true"/>
        <sz val="12"/>
        <rFont val="DejaVu Sans"/>
        <family val="2"/>
      </rPr>
      <t xml:space="preserve">四、基准倍数（</t>
    </r>
    <r>
      <rPr>
        <b val="true"/>
        <sz val="12"/>
        <rFont val="DejaVu Sans"/>
        <family val="2"/>
        <charset val="1"/>
      </rPr>
      <t xml:space="preserve">EV/Sales</t>
    </r>
    <r>
      <rPr>
        <b val="true"/>
        <sz val="12"/>
        <rFont val="DejaVu Sans"/>
        <family val="2"/>
      </rPr>
      <t xml:space="preserve">，跨情景固定 — 市场情绪独立维度）</t>
    </r>
  </si>
  <si>
    <r>
      <rPr>
        <b val="true"/>
        <sz val="11"/>
        <rFont val="DejaVu Sans"/>
        <family val="2"/>
      </rPr>
      <t xml:space="preserve">基准 </t>
    </r>
    <r>
      <rPr>
        <b val="true"/>
        <sz val="11"/>
        <rFont val="DejaVu Sans"/>
        <family val="2"/>
        <charset val="1"/>
      </rPr>
      <t xml:space="preserve">P/Sales</t>
    </r>
  </si>
  <si>
    <t xml:space="preserve">历史区间</t>
  </si>
  <si>
    <t xml:space="preserve">可比公司参考</t>
  </si>
  <si>
    <r>
      <rPr>
        <sz val="11"/>
        <color theme="1"/>
        <rFont val="Calibri"/>
        <family val="2"/>
        <charset val="1"/>
      </rPr>
      <t xml:space="preserve">0.5-3x </t>
    </r>
    <r>
      <rPr>
        <sz val="11"/>
        <color theme="1"/>
        <rFont val="DejaVu Sans"/>
        <family val="2"/>
      </rPr>
      <t xml:space="preserve">汽车业</t>
    </r>
  </si>
  <si>
    <r>
      <rPr>
        <sz val="11"/>
        <color theme="1"/>
        <rFont val="Calibri"/>
        <family val="2"/>
        <charset val="1"/>
      </rPr>
      <t xml:space="preserve">TM 0.6x, F 0.3x, BYD 1.2x;Tesla </t>
    </r>
    <r>
      <rPr>
        <sz val="11"/>
        <color theme="1"/>
        <rFont val="DejaVu Sans"/>
        <family val="2"/>
      </rPr>
      <t xml:space="preserve">溢价反映成长</t>
    </r>
  </si>
  <si>
    <t xml:space="preserve">高毛利但消亡</t>
  </si>
  <si>
    <t xml:space="preserve">即将归零的资产</t>
  </si>
  <si>
    <t xml:space="preserve">汽车金融</t>
  </si>
  <si>
    <r>
      <rPr>
        <sz val="11"/>
        <color theme="1"/>
        <rFont val="Calibri"/>
        <family val="2"/>
        <charset val="1"/>
      </rPr>
      <t xml:space="preserve">GM Financial </t>
    </r>
    <r>
      <rPr>
        <sz val="11"/>
        <color theme="1"/>
        <rFont val="DejaVu Sans"/>
        <family val="2"/>
      </rPr>
      <t xml:space="preserve">类</t>
    </r>
  </si>
  <si>
    <r>
      <rPr>
        <sz val="11"/>
        <color theme="1"/>
        <rFont val="Calibri"/>
        <family val="2"/>
        <charset val="1"/>
      </rPr>
      <t xml:space="preserve">6-12x </t>
    </r>
    <r>
      <rPr>
        <sz val="11"/>
        <color theme="1"/>
        <rFont val="DejaVu Sans"/>
        <family val="2"/>
      </rPr>
      <t xml:space="preserve">高增长</t>
    </r>
  </si>
  <si>
    <t xml:space="preserve">NEE 4x, ENPH 8x, SEDG 5x</t>
  </si>
  <si>
    <t xml:space="preserve">8-18x SaaS+</t>
  </si>
  <si>
    <r>
      <rPr>
        <sz val="11"/>
        <color theme="1"/>
        <rFont val="Calibri"/>
        <family val="2"/>
        <charset val="1"/>
      </rPr>
      <t xml:space="preserve">MSFT 13x, ADBE 10x</t>
    </r>
    <r>
      <rPr>
        <sz val="11"/>
        <color theme="1"/>
        <rFont val="DejaVu Sans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FSD </t>
    </r>
    <r>
      <rPr>
        <sz val="11"/>
        <color theme="1"/>
        <rFont val="DejaVu Sans"/>
        <family val="2"/>
      </rPr>
      <t xml:space="preserve">订阅）</t>
    </r>
  </si>
  <si>
    <t xml:space="preserve">五、情景概率分配</t>
  </si>
  <si>
    <t xml:space="preserve">Bear</t>
  </si>
  <si>
    <t xml:space="preserve">Base</t>
  </si>
  <si>
    <t xml:space="preserve">Bull</t>
  </si>
  <si>
    <t xml:space="preserve">合计</t>
  </si>
  <si>
    <t xml:space="preserve">概率</t>
  </si>
  <si>
    <t xml:space="preserve">六、使用提示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</si>
  <si>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DejaVu Sans"/>
        <family val="2"/>
      </rPr>
      <t xml:space="preserve">每月更新 </t>
    </r>
    <r>
      <rPr>
        <sz val="11"/>
        <color theme="1"/>
        <rFont val="Calibri"/>
        <family val="2"/>
        <charset val="1"/>
      </rPr>
      <t xml:space="preserve">C7</t>
    </r>
    <r>
      <rPr>
        <sz val="11"/>
        <color theme="1"/>
        <rFont val="DejaVu Sans"/>
        <family val="2"/>
      </rPr>
      <t xml:space="preserve">（股价）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</si>
  <si>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DejaVu Sans"/>
        <family val="2"/>
      </rPr>
      <t xml:space="preserve">季报后更新 </t>
    </r>
    <r>
      <rPr>
        <sz val="11"/>
        <color theme="1"/>
        <rFont val="Calibri"/>
        <family val="2"/>
        <charset val="1"/>
      </rPr>
      <t xml:space="preserve">C12</t>
    </r>
    <r>
      <rPr>
        <sz val="11"/>
        <color theme="1"/>
        <rFont val="DejaVu Sans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FSD </t>
    </r>
    <r>
      <rPr>
        <sz val="11"/>
        <color theme="1"/>
        <rFont val="DejaVu Sans"/>
        <family val="2"/>
      </rPr>
      <t xml:space="preserve">订阅数）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</si>
  <si>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DejaVu Sans"/>
        <family val="2"/>
      </rPr>
      <t xml:space="preserve">财报后更新 </t>
    </r>
    <r>
      <rPr>
        <sz val="11"/>
        <color theme="1"/>
        <rFont val="Calibri"/>
        <family val="2"/>
        <charset val="1"/>
      </rPr>
      <t xml:space="preserve">C19-C23</t>
    </r>
    <r>
      <rPr>
        <sz val="11"/>
        <color theme="1"/>
        <rFont val="DejaVu Sans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业务线营收）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</si>
  <si>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DejaVu Sans"/>
        <family val="2"/>
      </rPr>
      <t xml:space="preserve">期权价值在 </t>
    </r>
    <r>
      <rPr>
        <sz val="11"/>
        <color theme="1"/>
        <rFont val="Calibri"/>
        <family val="2"/>
        <charset val="1"/>
      </rPr>
      <t xml:space="preserve">Sheet 6 </t>
    </r>
    <r>
      <rPr>
        <sz val="11"/>
        <color theme="1"/>
        <rFont val="DejaVu Sans"/>
        <family val="2"/>
      </rPr>
      <t xml:space="preserve">单独管理</t>
    </r>
  </si>
  <si>
    <t xml:space="preserve">七、更新日志</t>
  </si>
  <si>
    <t xml:space="preserve">日期</t>
  </si>
  <si>
    <t xml:space="preserve">版本</t>
  </si>
  <si>
    <t xml:space="preserve">修订内容</t>
  </si>
  <si>
    <t xml:space="preserve">2026-05-11</t>
  </si>
  <si>
    <t xml:space="preserve">v1.0</t>
  </si>
  <si>
    <r>
      <rPr>
        <sz val="11"/>
        <color theme="1"/>
        <rFont val="DejaVu Sans"/>
        <family val="2"/>
      </rPr>
      <t xml:space="preserve">初版：</t>
    </r>
    <r>
      <rPr>
        <sz val="11"/>
        <color theme="1"/>
        <rFont val="DejaVu Sans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主营业务 </t>
    </r>
    <r>
      <rPr>
        <sz val="11"/>
        <color theme="1"/>
        <rFont val="DejaVu Sans"/>
        <family val="2"/>
        <charset val="1"/>
      </rPr>
      <t xml:space="preserve">SOTP + 5 </t>
    </r>
    <r>
      <rPr>
        <sz val="11"/>
        <color theme="1"/>
        <rFont val="DejaVu Sans"/>
        <family val="2"/>
      </rPr>
      <t xml:space="preserve">期权组合；基线 </t>
    </r>
    <r>
      <rPr>
        <sz val="11"/>
        <color theme="1"/>
        <rFont val="DejaVu Sans"/>
        <family val="2"/>
        <charset val="1"/>
      </rPr>
      <t xml:space="preserve">Q1 2026 </t>
    </r>
    <r>
      <rPr>
        <sz val="11"/>
        <color theme="1"/>
        <rFont val="DejaVu Sans"/>
        <family val="2"/>
      </rPr>
      <t xml:space="preserve">财报</t>
    </r>
  </si>
  <si>
    <r>
      <rPr>
        <b val="true"/>
        <sz val="14"/>
        <rFont val="Cambria"/>
        <family val="0"/>
        <charset val="1"/>
      </rPr>
      <t xml:space="preserve">Tesla 5 </t>
    </r>
    <r>
      <rPr>
        <b val="true"/>
        <sz val="14"/>
        <rFont val="DejaVu Sans"/>
        <family val="2"/>
      </rPr>
      <t xml:space="preserve">年三情景营收预测 </t>
    </r>
    <r>
      <rPr>
        <b val="true"/>
        <sz val="14"/>
        <rFont val="Cambria"/>
        <family val="0"/>
        <charset val="1"/>
      </rPr>
      <t xml:space="preserve">(TTM Q1 2026 → 2031)</t>
    </r>
  </si>
  <si>
    <r>
      <rPr>
        <i val="true"/>
        <sz val="11"/>
        <color rgb="FF808080"/>
        <rFont val="DejaVu Sans"/>
        <family val="2"/>
      </rPr>
      <t xml:space="preserve">基于 </t>
    </r>
    <r>
      <rPr>
        <i val="true"/>
        <sz val="11"/>
        <color rgb="FF808080"/>
        <rFont val="DejaVu Sans"/>
        <family val="2"/>
        <charset val="1"/>
      </rPr>
      <t xml:space="preserve">Sheet 1 </t>
    </r>
    <r>
      <rPr>
        <i val="true"/>
        <sz val="11"/>
        <color rgb="FF808080"/>
        <rFont val="DejaVu Sans"/>
        <family val="2"/>
      </rPr>
      <t xml:space="preserve">输入自动计算 — 你不需要修改这里</t>
    </r>
  </si>
  <si>
    <r>
      <rPr>
        <b val="true"/>
        <sz val="11"/>
        <color rgb="FFB22222"/>
        <rFont val="Cambria"/>
        <family val="0"/>
        <charset val="1"/>
      </rPr>
      <t xml:space="preserve">Bear </t>
    </r>
    <r>
      <rPr>
        <b val="true"/>
        <sz val="11"/>
        <color rgb="FFB22222"/>
        <rFont val="DejaVu Sans"/>
        <family val="2"/>
      </rPr>
      <t xml:space="preserve">情景</t>
    </r>
  </si>
  <si>
    <t xml:space="preserve">2026 TTM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</si>
  <si>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</si>
  <si>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</si>
  <si>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</si>
  <si>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</si>
  <si>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</si>
  <si>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r>
      <rPr>
        <b val="true"/>
        <sz val="11"/>
        <rFont val="Cambria"/>
        <family val="0"/>
        <charset val="1"/>
      </rPr>
      <t xml:space="preserve">Bear </t>
    </r>
    <r>
      <rPr>
        <b val="true"/>
        <sz val="11"/>
        <rFont val="DejaVu Sans"/>
        <family val="2"/>
      </rPr>
      <t xml:space="preserve">总营收</t>
    </r>
  </si>
  <si>
    <r>
      <rPr>
        <b val="true"/>
        <sz val="11"/>
        <color rgb="FF1F4E79"/>
        <rFont val="Cambria"/>
        <family val="0"/>
        <charset val="1"/>
      </rPr>
      <t xml:space="preserve">Base </t>
    </r>
    <r>
      <rPr>
        <b val="true"/>
        <sz val="11"/>
        <color rgb="FF1F4E79"/>
        <rFont val="DejaVu Sans"/>
        <family val="2"/>
      </rPr>
      <t xml:space="preserve">情景</t>
    </r>
  </si>
  <si>
    <r>
      <rPr>
        <b val="true"/>
        <sz val="11"/>
        <rFont val="Cambria"/>
        <family val="0"/>
        <charset val="1"/>
      </rPr>
      <t xml:space="preserve">Base </t>
    </r>
    <r>
      <rPr>
        <b val="true"/>
        <sz val="11"/>
        <rFont val="DejaVu Sans"/>
        <family val="2"/>
      </rPr>
      <t xml:space="preserve">总营收</t>
    </r>
  </si>
  <si>
    <r>
      <rPr>
        <b val="true"/>
        <sz val="11"/>
        <color rgb="FF2E7D32"/>
        <rFont val="Cambria"/>
        <family val="0"/>
        <charset val="1"/>
      </rPr>
      <t xml:space="preserve">Bull </t>
    </r>
    <r>
      <rPr>
        <b val="true"/>
        <sz val="11"/>
        <color rgb="FF2E7D32"/>
        <rFont val="DejaVu Sans"/>
        <family val="2"/>
      </rPr>
      <t xml:space="preserve">情景</t>
    </r>
  </si>
  <si>
    <r>
      <rPr>
        <b val="true"/>
        <sz val="11"/>
        <rFont val="Cambria"/>
        <family val="0"/>
        <charset val="1"/>
      </rPr>
      <t xml:space="preserve">Bull </t>
    </r>
    <r>
      <rPr>
        <b val="true"/>
        <sz val="11"/>
        <rFont val="DejaVu Sans"/>
        <family val="2"/>
      </rPr>
      <t xml:space="preserve">总营收</t>
    </r>
  </si>
  <si>
    <r>
      <rPr>
        <b val="true"/>
        <sz val="14"/>
        <rFont val="Cambria"/>
        <family val="0"/>
        <charset val="1"/>
      </rPr>
      <t xml:space="preserve">Tesla SOTP </t>
    </r>
    <r>
      <rPr>
        <b val="true"/>
        <sz val="14"/>
        <rFont val="DejaVu Sans"/>
        <family val="2"/>
      </rPr>
      <t xml:space="preserve">估值（</t>
    </r>
    <r>
      <rPr>
        <b val="true"/>
        <sz val="14"/>
        <rFont val="Cambria"/>
        <family val="0"/>
        <charset val="1"/>
      </rPr>
      <t xml:space="preserve">v1.0</t>
    </r>
    <r>
      <rPr>
        <b val="true"/>
        <sz val="14"/>
        <rFont val="DejaVu Sans"/>
        <family val="2"/>
      </rPr>
      <t xml:space="preserve">：主营 </t>
    </r>
    <r>
      <rPr>
        <b val="true"/>
        <sz val="14"/>
        <rFont val="Cambria"/>
        <family val="0"/>
        <charset val="1"/>
      </rPr>
      <t xml:space="preserve">+ </t>
    </r>
    <r>
      <rPr>
        <b val="true"/>
        <sz val="14"/>
        <rFont val="DejaVu Sans"/>
        <family val="2"/>
      </rPr>
      <t xml:space="preserve">期权双层）</t>
    </r>
  </si>
  <si>
    <r>
      <rPr>
        <i val="true"/>
        <sz val="11"/>
        <color rgb="FF808080"/>
        <rFont val="DejaVu Sans"/>
        <family val="2"/>
      </rPr>
      <t xml:space="preserve">主营业务 </t>
    </r>
    <r>
      <rPr>
        <i val="true"/>
        <sz val="11"/>
        <color rgb="FF808080"/>
        <rFont val="DejaVu Sans"/>
        <family val="2"/>
        <charset val="1"/>
      </rPr>
      <t xml:space="preserve">EV/Sales </t>
    </r>
    <r>
      <rPr>
        <i val="true"/>
        <sz val="11"/>
        <color rgb="FF808080"/>
        <rFont val="DejaVu Sans"/>
        <family val="2"/>
      </rPr>
      <t xml:space="preserve">估值 </t>
    </r>
    <r>
      <rPr>
        <i val="true"/>
        <sz val="11"/>
        <color rgb="FF808080"/>
        <rFont val="DejaVu Sans"/>
        <family val="2"/>
        <charset val="1"/>
      </rPr>
      <t xml:space="preserve">+ </t>
    </r>
    <r>
      <rPr>
        <i val="true"/>
        <sz val="11"/>
        <color rgb="FF808080"/>
        <rFont val="DejaVu Sans"/>
        <family val="2"/>
      </rPr>
      <t xml:space="preserve">期权组合 </t>
    </r>
    <r>
      <rPr>
        <i val="true"/>
        <sz val="11"/>
        <color rgb="FF808080"/>
        <rFont val="DejaVu Sans"/>
        <family val="2"/>
        <charset val="1"/>
      </rPr>
      <t xml:space="preserve">Real Option Value</t>
    </r>
  </si>
  <si>
    <r>
      <rPr>
        <b val="true"/>
        <sz val="11"/>
        <color rgb="FFB22222"/>
        <rFont val="Cambria"/>
        <family val="0"/>
        <charset val="1"/>
      </rPr>
      <t xml:space="preserve">Bear </t>
    </r>
    <r>
      <rPr>
        <b val="true"/>
        <sz val="11"/>
        <color rgb="FFB22222"/>
        <rFont val="DejaVu Sans"/>
        <family val="2"/>
      </rPr>
      <t xml:space="preserve">情景 </t>
    </r>
    <r>
      <rPr>
        <b val="true"/>
        <sz val="11"/>
        <color rgb="FFB22222"/>
        <rFont val="Cambria"/>
        <family val="0"/>
        <charset val="1"/>
      </rPr>
      <t xml:space="preserve">SOTP</t>
    </r>
  </si>
  <si>
    <r>
      <rPr>
        <b val="true"/>
        <sz val="11"/>
        <rFont val="Cambria"/>
        <family val="0"/>
        <charset val="1"/>
      </rPr>
      <t xml:space="preserve">2031 </t>
    </r>
    <r>
      <rPr>
        <b val="true"/>
        <sz val="11"/>
        <rFont val="DejaVu Sans"/>
        <family val="2"/>
      </rPr>
      <t xml:space="preserve">营收</t>
    </r>
  </si>
  <si>
    <t xml:space="preserve">倍数</t>
  </si>
  <si>
    <t xml:space="preserve">2031 EV</t>
  </si>
  <si>
    <r>
      <rPr>
        <b val="true"/>
        <sz val="11"/>
        <rFont val="DejaVu Sans"/>
        <family val="2"/>
      </rPr>
      <t xml:space="preserve">折现回 </t>
    </r>
    <r>
      <rPr>
        <b val="true"/>
        <sz val="11"/>
        <rFont val="DejaVu Sans"/>
        <family val="2"/>
        <charset val="1"/>
      </rPr>
      <t xml:space="preserve">2026</t>
    </r>
  </si>
  <si>
    <r>
      <rPr>
        <b val="true"/>
        <sz val="11"/>
        <rFont val="Cambria"/>
        <family val="0"/>
        <charset val="1"/>
      </rPr>
      <t xml:space="preserve">Bear </t>
    </r>
    <r>
      <rPr>
        <b val="true"/>
        <sz val="11"/>
        <rFont val="DejaVu Sans"/>
        <family val="2"/>
      </rPr>
      <t xml:space="preserve">加和（主营业务）</t>
    </r>
  </si>
  <si>
    <r>
      <rPr>
        <b val="true"/>
        <sz val="11"/>
        <color rgb="FF1F4E79"/>
        <rFont val="Cambria"/>
        <family val="0"/>
        <charset val="1"/>
      </rPr>
      <t xml:space="preserve">Base </t>
    </r>
    <r>
      <rPr>
        <b val="true"/>
        <sz val="11"/>
        <color rgb="FF1F4E79"/>
        <rFont val="DejaVu Sans"/>
        <family val="2"/>
      </rPr>
      <t xml:space="preserve">情景 </t>
    </r>
    <r>
      <rPr>
        <b val="true"/>
        <sz val="11"/>
        <color rgb="FF1F4E79"/>
        <rFont val="Cambria"/>
        <family val="0"/>
        <charset val="1"/>
      </rPr>
      <t xml:space="preserve">SOTP</t>
    </r>
  </si>
  <si>
    <r>
      <rPr>
        <b val="true"/>
        <sz val="11"/>
        <rFont val="Cambria"/>
        <family val="0"/>
        <charset val="1"/>
      </rPr>
      <t xml:space="preserve">Base </t>
    </r>
    <r>
      <rPr>
        <b val="true"/>
        <sz val="11"/>
        <rFont val="DejaVu Sans"/>
        <family val="2"/>
      </rPr>
      <t xml:space="preserve">加和（主营业务）</t>
    </r>
  </si>
  <si>
    <r>
      <rPr>
        <b val="true"/>
        <sz val="11"/>
        <color rgb="FF2E7D32"/>
        <rFont val="Cambria"/>
        <family val="0"/>
        <charset val="1"/>
      </rPr>
      <t xml:space="preserve">Bull </t>
    </r>
    <r>
      <rPr>
        <b val="true"/>
        <sz val="11"/>
        <color rgb="FF2E7D32"/>
        <rFont val="DejaVu Sans"/>
        <family val="2"/>
      </rPr>
      <t xml:space="preserve">情景 </t>
    </r>
    <r>
      <rPr>
        <b val="true"/>
        <sz val="11"/>
        <color rgb="FF2E7D32"/>
        <rFont val="Cambria"/>
        <family val="0"/>
        <charset val="1"/>
      </rPr>
      <t xml:space="preserve">SOTP</t>
    </r>
  </si>
  <si>
    <r>
      <rPr>
        <b val="true"/>
        <sz val="11"/>
        <rFont val="Cambria"/>
        <family val="0"/>
        <charset val="1"/>
      </rPr>
      <t xml:space="preserve">Bull </t>
    </r>
    <r>
      <rPr>
        <b val="true"/>
        <sz val="11"/>
        <rFont val="DejaVu Sans"/>
        <family val="2"/>
      </rPr>
      <t xml:space="preserve">加和（主营业务）</t>
    </r>
  </si>
  <si>
    <t xml:space="preserve">⭐ 加权主营业务公允（基本面维度）</t>
  </si>
  <si>
    <t xml:space="preserve">情景</t>
  </si>
  <si>
    <t xml:space="preserve">2031 EV ($B)</t>
  </si>
  <si>
    <r>
      <rPr>
        <b val="true"/>
        <sz val="11"/>
        <rFont val="DejaVu Sans"/>
        <family val="2"/>
      </rPr>
      <t xml:space="preserve">今天公允 </t>
    </r>
    <r>
      <rPr>
        <b val="true"/>
        <sz val="11"/>
        <rFont val="DejaVu Sans"/>
        <family val="2"/>
        <charset val="1"/>
      </rPr>
      <t xml:space="preserve">($B)</t>
    </r>
  </si>
  <si>
    <r>
      <rPr>
        <b val="true"/>
        <sz val="11"/>
        <rFont val="DejaVu Sans"/>
        <family val="2"/>
      </rPr>
      <t xml:space="preserve">加权贡献 </t>
    </r>
    <r>
      <rPr>
        <b val="true"/>
        <sz val="11"/>
        <rFont val="DejaVu Sans"/>
        <family val="2"/>
        <charset val="1"/>
      </rPr>
      <t xml:space="preserve">($B)</t>
    </r>
  </si>
  <si>
    <t xml:space="preserve">加权主营公允</t>
  </si>
  <si>
    <r>
      <rPr>
        <b val="true"/>
        <sz val="11"/>
        <color rgb="FF2E7D32"/>
        <rFont val="Cambria"/>
        <family val="0"/>
        <charset val="1"/>
      </rPr>
      <t xml:space="preserve">+ </t>
    </r>
    <r>
      <rPr>
        <b val="true"/>
        <sz val="11"/>
        <color rgb="FF2E7D32"/>
        <rFont val="DejaVu Sans"/>
        <family val="2"/>
      </rPr>
      <t xml:space="preserve">期权组合（</t>
    </r>
    <r>
      <rPr>
        <b val="true"/>
        <sz val="11"/>
        <color rgb="FF2E7D32"/>
        <rFont val="Cambria"/>
        <family val="0"/>
        <charset val="1"/>
      </rPr>
      <t xml:space="preserve">Real Option Value</t>
    </r>
    <r>
      <rPr>
        <b val="true"/>
        <sz val="11"/>
        <color rgb="FF2E7D32"/>
        <rFont val="DejaVu Sans"/>
        <family val="2"/>
      </rPr>
      <t xml:space="preserve">，来自 </t>
    </r>
    <r>
      <rPr>
        <b val="true"/>
        <sz val="11"/>
        <color rgb="FF2E7D32"/>
        <rFont val="Cambria"/>
        <family val="0"/>
        <charset val="1"/>
      </rPr>
      <t xml:space="preserve">Sheet 6</t>
    </r>
    <r>
      <rPr>
        <b val="true"/>
        <sz val="11"/>
        <color rgb="FF2E7D32"/>
        <rFont val="DejaVu Sans"/>
        <family val="2"/>
      </rPr>
      <t xml:space="preserve">）</t>
    </r>
  </si>
  <si>
    <t xml:space="preserve">⭐ 总公允价值（含期权）</t>
  </si>
  <si>
    <t xml:space="preserve">当前市值</t>
  </si>
  <si>
    <r>
      <rPr>
        <sz val="11"/>
        <color theme="1"/>
        <rFont val="DejaVu Sans"/>
        <family val="2"/>
      </rPr>
      <t xml:space="preserve">当前价 </t>
    </r>
    <r>
      <rPr>
        <sz val="11"/>
        <color theme="1"/>
        <rFont val="DejaVu Sans"/>
        <family val="2"/>
        <charset val="1"/>
      </rPr>
      <t xml:space="preserve">vs </t>
    </r>
    <r>
      <rPr>
        <sz val="11"/>
        <color theme="1"/>
        <rFont val="DejaVu Sans"/>
        <family val="2"/>
      </rPr>
      <t xml:space="preserve">公允（仅主营）</t>
    </r>
  </si>
  <si>
    <r>
      <rPr>
        <b val="true"/>
        <sz val="11"/>
        <rFont val="DejaVu Sans"/>
        <family val="2"/>
      </rPr>
      <t xml:space="preserve">当前价 </t>
    </r>
    <r>
      <rPr>
        <b val="true"/>
        <sz val="11"/>
        <rFont val="DejaVu Sans"/>
        <family val="2"/>
        <charset val="1"/>
      </rPr>
      <t xml:space="preserve">vs </t>
    </r>
    <r>
      <rPr>
        <b val="true"/>
        <sz val="11"/>
        <rFont val="DejaVu Sans"/>
        <family val="2"/>
      </rPr>
      <t xml:space="preserve">总公允（含期权）</t>
    </r>
  </si>
  <si>
    <r>
      <rPr>
        <b val="true"/>
        <sz val="12"/>
        <color rgb="FF2E7D32"/>
        <rFont val="DejaVu Sans"/>
        <family val="2"/>
      </rPr>
      <t xml:space="preserve">⭐⭐ 单股估值视角（含期权 </t>
    </r>
    <r>
      <rPr>
        <b val="true"/>
        <sz val="12"/>
        <color rgb="FF2E7D32"/>
        <rFont val="DejaVu Sans"/>
        <family val="2"/>
        <charset val="1"/>
      </rPr>
      <t xml:space="preserve">+ </t>
    </r>
    <r>
      <rPr>
        <b val="true"/>
        <sz val="12"/>
        <color rgb="FF2E7D32"/>
        <rFont val="DejaVu Sans"/>
        <family val="2"/>
      </rPr>
      <t xml:space="preserve">股本稀释）</t>
    </r>
  </si>
  <si>
    <r>
      <rPr>
        <sz val="11"/>
        <color theme="1"/>
        <rFont val="DejaVu Sans"/>
        <family val="2"/>
      </rPr>
      <t xml:space="preserve">原理：</t>
    </r>
    <r>
      <rPr>
        <sz val="11"/>
        <color theme="1"/>
        <rFont val="DejaVu Sans"/>
        <family val="2"/>
        <charset val="1"/>
      </rPr>
      <t xml:space="preserve">2031 </t>
    </r>
    <r>
      <rPr>
        <sz val="11"/>
        <color theme="1"/>
        <rFont val="DejaVu Sans"/>
        <family val="2"/>
      </rPr>
      <t xml:space="preserve">股本 </t>
    </r>
    <r>
      <rPr>
        <sz val="11"/>
        <color theme="1"/>
        <rFont val="DejaVu Sans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今天股本 </t>
    </r>
    <r>
      <rPr>
        <sz val="11"/>
        <color theme="1"/>
        <rFont val="DejaVu Sans"/>
        <family val="2"/>
        <charset val="1"/>
      </rPr>
      <t xml:space="preserve">× (1 + </t>
    </r>
    <r>
      <rPr>
        <sz val="11"/>
        <color theme="1"/>
        <rFont val="DejaVu Sans"/>
        <family val="2"/>
      </rPr>
      <t xml:space="preserve">稀释率</t>
    </r>
    <r>
      <rPr>
        <sz val="11"/>
        <color theme="1"/>
        <rFont val="DejaVu Sans"/>
        <family val="2"/>
        <charset val="1"/>
      </rPr>
      <t xml:space="preserve">)^5</t>
    </r>
    <r>
      <rPr>
        <sz val="11"/>
        <color theme="1"/>
        <rFont val="DejaVu Sans"/>
        <family val="2"/>
      </rPr>
      <t xml:space="preserve">；单股 </t>
    </r>
    <r>
      <rPr>
        <sz val="11"/>
        <color theme="1"/>
        <rFont val="DejaVu Sans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总 </t>
    </r>
    <r>
      <rPr>
        <sz val="11"/>
        <color theme="1"/>
        <rFont val="DejaVu Sans"/>
        <family val="2"/>
        <charset val="1"/>
      </rPr>
      <t xml:space="preserve">EV ÷ 2031 </t>
    </r>
    <r>
      <rPr>
        <sz val="11"/>
        <color theme="1"/>
        <rFont val="DejaVu Sans"/>
        <family val="2"/>
      </rPr>
      <t xml:space="preserve">股本 </t>
    </r>
    <r>
      <rPr>
        <sz val="11"/>
        <color theme="1"/>
        <rFont val="DejaVu Sans"/>
        <family val="2"/>
        <charset val="1"/>
      </rPr>
      <t xml:space="preserve">÷ </t>
    </r>
    <r>
      <rPr>
        <sz val="11"/>
        <color theme="1"/>
        <rFont val="DejaVu Sans"/>
        <family val="2"/>
      </rPr>
      <t xml:space="preserve">折现</t>
    </r>
  </si>
  <si>
    <r>
      <rPr>
        <b val="true"/>
        <sz val="11"/>
        <rFont val="Cambria"/>
        <family val="0"/>
        <charset val="1"/>
      </rPr>
      <t xml:space="preserve">+</t>
    </r>
    <r>
      <rPr>
        <b val="true"/>
        <sz val="11"/>
        <rFont val="DejaVu Sans"/>
        <family val="2"/>
      </rPr>
      <t xml:space="preserve">期权 </t>
    </r>
    <r>
      <rPr>
        <b val="true"/>
        <sz val="11"/>
        <rFont val="Cambria"/>
        <family val="0"/>
        <charset val="1"/>
      </rPr>
      <t xml:space="preserve">($B)</t>
    </r>
  </si>
  <si>
    <r>
      <rPr>
        <b val="true"/>
        <sz val="11"/>
        <rFont val="Cambria"/>
        <family val="0"/>
        <charset val="1"/>
      </rPr>
      <t xml:space="preserve">2031 </t>
    </r>
    <r>
      <rPr>
        <b val="true"/>
        <sz val="11"/>
        <rFont val="DejaVu Sans"/>
        <family val="2"/>
      </rPr>
      <t xml:space="preserve">股本 </t>
    </r>
    <r>
      <rPr>
        <b val="true"/>
        <sz val="11"/>
        <rFont val="Cambria"/>
        <family val="0"/>
        <charset val="1"/>
      </rPr>
      <t xml:space="preserve">(B)</t>
    </r>
  </si>
  <si>
    <r>
      <rPr>
        <b val="true"/>
        <sz val="11"/>
        <rFont val="DejaVu Sans"/>
        <family val="2"/>
      </rPr>
      <t xml:space="preserve">今天单股公允 </t>
    </r>
    <r>
      <rPr>
        <b val="true"/>
        <sz val="11"/>
        <rFont val="DejaVu Sans"/>
        <family val="2"/>
        <charset val="1"/>
      </rPr>
      <t xml:space="preserve">($)</t>
    </r>
  </si>
  <si>
    <t xml:space="preserve">加权单股公允（含期权）</t>
  </si>
  <si>
    <t xml:space="preserve">当前股价</t>
  </si>
  <si>
    <r>
      <rPr>
        <b val="true"/>
        <sz val="11"/>
        <rFont val="DejaVu Sans"/>
        <family val="2"/>
      </rPr>
      <t xml:space="preserve">当前价 </t>
    </r>
    <r>
      <rPr>
        <b val="true"/>
        <sz val="11"/>
        <rFont val="DejaVu Sans"/>
        <family val="2"/>
        <charset val="1"/>
      </rPr>
      <t xml:space="preserve">vs </t>
    </r>
    <r>
      <rPr>
        <b val="true"/>
        <sz val="11"/>
        <rFont val="DejaVu Sans"/>
        <family val="2"/>
      </rPr>
      <t xml:space="preserve">加权单股公允</t>
    </r>
  </si>
  <si>
    <r>
      <rPr>
        <b val="true"/>
        <sz val="14"/>
        <rFont val="Cambria"/>
        <family val="0"/>
        <charset val="1"/>
      </rPr>
      <t xml:space="preserve">Tesla </t>
    </r>
    <r>
      <rPr>
        <b val="true"/>
        <sz val="14"/>
        <rFont val="DejaVu Sans"/>
        <family val="2"/>
      </rPr>
      <t xml:space="preserve">价位分析与决策框架</t>
    </r>
  </si>
  <si>
    <t xml:space="preserve">在不同买入价位下的预期回报 — 帮助判断当前是否为好买点</t>
  </si>
  <si>
    <t xml:space="preserve">一、关键引用值</t>
  </si>
  <si>
    <r>
      <rPr>
        <sz val="11"/>
        <color theme="1"/>
        <rFont val="Calibri"/>
        <family val="2"/>
        <charset val="1"/>
      </rPr>
      <t xml:space="preserve">Bear </t>
    </r>
    <r>
      <rPr>
        <sz val="11"/>
        <color theme="1"/>
        <rFont val="DejaVu Sans"/>
        <family val="2"/>
      </rPr>
      <t xml:space="preserve">公允价值 </t>
    </r>
    <r>
      <rPr>
        <sz val="11"/>
        <color theme="1"/>
        <rFont val="Calibri"/>
        <family val="2"/>
        <charset val="1"/>
      </rPr>
      <t xml:space="preserve">($B)</t>
    </r>
  </si>
  <si>
    <r>
      <rPr>
        <sz val="11"/>
        <color theme="1"/>
        <rFont val="Calibri"/>
        <family val="2"/>
        <charset val="1"/>
      </rPr>
      <t xml:space="preserve">Base </t>
    </r>
    <r>
      <rPr>
        <sz val="11"/>
        <color theme="1"/>
        <rFont val="DejaVu Sans"/>
        <family val="2"/>
      </rPr>
      <t xml:space="preserve">公允价值 </t>
    </r>
    <r>
      <rPr>
        <sz val="11"/>
        <color theme="1"/>
        <rFont val="Calibri"/>
        <family val="2"/>
        <charset val="1"/>
      </rPr>
      <t xml:space="preserve">($B)</t>
    </r>
  </si>
  <si>
    <r>
      <rPr>
        <sz val="11"/>
        <color theme="1"/>
        <rFont val="Calibri"/>
        <family val="2"/>
        <charset val="1"/>
      </rPr>
      <t xml:space="preserve">Bull </t>
    </r>
    <r>
      <rPr>
        <sz val="11"/>
        <color theme="1"/>
        <rFont val="DejaVu Sans"/>
        <family val="2"/>
      </rPr>
      <t xml:space="preserve">公允价值 </t>
    </r>
    <r>
      <rPr>
        <sz val="11"/>
        <color theme="1"/>
        <rFont val="Calibri"/>
        <family val="2"/>
        <charset val="1"/>
      </rPr>
      <t xml:space="preserve">($B)</t>
    </r>
  </si>
  <si>
    <r>
      <rPr>
        <sz val="11"/>
        <color theme="1"/>
        <rFont val="DejaVu Sans"/>
        <family val="2"/>
      </rPr>
      <t xml:space="preserve">主营加权公允 </t>
    </r>
    <r>
      <rPr>
        <sz val="11"/>
        <color theme="1"/>
        <rFont val="DejaVu Sans"/>
        <family val="2"/>
        <charset val="1"/>
      </rPr>
      <t xml:space="preserve">($B)</t>
    </r>
  </si>
  <si>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期权组合 </t>
    </r>
    <r>
      <rPr>
        <sz val="11"/>
        <color theme="1"/>
        <rFont val="Calibri"/>
        <family val="2"/>
        <charset val="1"/>
      </rPr>
      <t xml:space="preserve">($B)</t>
    </r>
  </si>
  <si>
    <r>
      <rPr>
        <sz val="11"/>
        <color theme="1"/>
        <rFont val="DejaVu Sans"/>
        <family val="2"/>
      </rPr>
      <t xml:space="preserve">总公允（含期权）</t>
    </r>
    <r>
      <rPr>
        <sz val="11"/>
        <color theme="1"/>
        <rFont val="DejaVu Sans"/>
        <family val="2"/>
        <charset val="1"/>
      </rPr>
      <t xml:space="preserve">($B)</t>
    </r>
  </si>
  <si>
    <t xml:space="preserve">折现率</t>
  </si>
  <si>
    <r>
      <rPr>
        <b val="true"/>
        <sz val="12"/>
        <rFont val="DejaVu Sans"/>
        <family val="2"/>
      </rPr>
      <t xml:space="preserve">二、不同买入价的 </t>
    </r>
    <r>
      <rPr>
        <b val="true"/>
        <sz val="12"/>
        <rFont val="DejaVu Sans"/>
        <family val="2"/>
        <charset val="1"/>
      </rPr>
      <t xml:space="preserve">5 </t>
    </r>
    <r>
      <rPr>
        <b val="true"/>
        <sz val="12"/>
        <rFont val="DejaVu Sans"/>
        <family val="2"/>
      </rPr>
      <t xml:space="preserve">年（到 </t>
    </r>
    <r>
      <rPr>
        <b val="true"/>
        <sz val="12"/>
        <rFont val="DejaVu Sans"/>
        <family val="2"/>
        <charset val="1"/>
      </rPr>
      <t xml:space="preserve">2031</t>
    </r>
    <r>
      <rPr>
        <b val="true"/>
        <sz val="12"/>
        <rFont val="DejaVu Sans"/>
        <family val="2"/>
      </rPr>
      <t xml:space="preserve">）期望年化回报</t>
    </r>
  </si>
  <si>
    <r>
      <rPr>
        <b val="true"/>
        <sz val="11"/>
        <rFont val="DejaVu Sans"/>
        <family val="2"/>
      </rPr>
      <t xml:space="preserve">买入价 </t>
    </r>
    <r>
      <rPr>
        <b val="true"/>
        <sz val="11"/>
        <rFont val="DejaVu Sans"/>
        <family val="2"/>
        <charset val="1"/>
      </rPr>
      <t xml:space="preserve">($B)</t>
    </r>
  </si>
  <si>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DejaVu Sans"/>
        <family val="2"/>
      </rPr>
      <t xml:space="preserve">当前 </t>
    </r>
    <r>
      <rPr>
        <b val="true"/>
        <sz val="11"/>
        <rFont val="Cambria"/>
        <family val="0"/>
        <charset val="1"/>
      </rPr>
      <t xml:space="preserve">(%)</t>
    </r>
  </si>
  <si>
    <r>
      <rPr>
        <b val="true"/>
        <sz val="11"/>
        <rFont val="Cambria"/>
        <family val="0"/>
        <charset val="1"/>
      </rPr>
      <t xml:space="preserve">Bear </t>
    </r>
    <r>
      <rPr>
        <b val="true"/>
        <sz val="11"/>
        <rFont val="DejaVu Sans"/>
        <family val="2"/>
      </rPr>
      <t xml:space="preserve">年化</t>
    </r>
  </si>
  <si>
    <r>
      <rPr>
        <b val="true"/>
        <sz val="11"/>
        <rFont val="Cambria"/>
        <family val="0"/>
        <charset val="1"/>
      </rPr>
      <t xml:space="preserve">Base </t>
    </r>
    <r>
      <rPr>
        <b val="true"/>
        <sz val="11"/>
        <rFont val="DejaVu Sans"/>
        <family val="2"/>
      </rPr>
      <t xml:space="preserve">年化</t>
    </r>
  </si>
  <si>
    <r>
      <rPr>
        <b val="true"/>
        <sz val="11"/>
        <rFont val="Cambria"/>
        <family val="0"/>
        <charset val="1"/>
      </rPr>
      <t xml:space="preserve">Bull </t>
    </r>
    <r>
      <rPr>
        <b val="true"/>
        <sz val="11"/>
        <rFont val="DejaVu Sans"/>
        <family val="2"/>
      </rPr>
      <t xml:space="preserve">年化</t>
    </r>
  </si>
  <si>
    <t xml:space="preserve">加权年化</t>
  </si>
  <si>
    <t xml:space="preserve">解读</t>
  </si>
  <si>
    <r>
      <rPr>
        <sz val="11"/>
        <color theme="1"/>
        <rFont val="Calibri"/>
        <family val="2"/>
        <charset val="1"/>
      </rPr>
      <t xml:space="preserve">-50% </t>
    </r>
    <r>
      <rPr>
        <sz val="11"/>
        <color theme="1"/>
        <rFont val="DejaVu Sans"/>
        <family val="2"/>
      </rPr>
      <t xml:space="preserve">半价大跌</t>
    </r>
  </si>
  <si>
    <r>
      <rPr>
        <sz val="11"/>
        <color theme="1"/>
        <rFont val="Calibri"/>
        <family val="2"/>
        <charset val="1"/>
      </rPr>
      <t xml:space="preserve">-30% </t>
    </r>
    <r>
      <rPr>
        <sz val="11"/>
        <color theme="1"/>
        <rFont val="DejaVu Sans"/>
        <family val="2"/>
      </rPr>
      <t xml:space="preserve">大幅下跌</t>
    </r>
  </si>
  <si>
    <r>
      <rPr>
        <sz val="11"/>
        <color theme="1"/>
        <rFont val="Calibri"/>
        <family val="2"/>
        <charset val="1"/>
      </rPr>
      <t xml:space="preserve">-15% </t>
    </r>
    <r>
      <rPr>
        <sz val="11"/>
        <color theme="1"/>
        <rFont val="DejaVu Sans"/>
        <family val="2"/>
      </rPr>
      <t xml:space="preserve">中度下跌</t>
    </r>
  </si>
  <si>
    <t xml:space="preserve">当前价</t>
  </si>
  <si>
    <r>
      <rPr>
        <sz val="11"/>
        <color theme="1"/>
        <rFont val="Calibri"/>
        <family val="2"/>
        <charset val="1"/>
      </rPr>
      <t xml:space="preserve">+15% </t>
    </r>
    <r>
      <rPr>
        <sz val="11"/>
        <color theme="1"/>
        <rFont val="DejaVu Sans"/>
        <family val="2"/>
      </rPr>
      <t xml:space="preserve">上涨</t>
    </r>
  </si>
  <si>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DejaVu Sans"/>
        <family val="2"/>
      </rPr>
      <t xml:space="preserve">大涨</t>
    </r>
  </si>
  <si>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DejaVu Sans"/>
        <family val="2"/>
      </rPr>
      <t xml:space="preserve">大涨</t>
    </r>
  </si>
  <si>
    <r>
      <rPr>
        <i val="true"/>
        <sz val="11"/>
        <color rgb="FF808080"/>
        <rFont val="DejaVu Sans"/>
        <family val="2"/>
      </rPr>
      <t xml:space="preserve">注：年化 </t>
    </r>
    <r>
      <rPr>
        <i val="true"/>
        <sz val="11"/>
        <color rgb="FF808080"/>
        <rFont val="DejaVu Sans"/>
        <family val="2"/>
        <charset val="1"/>
      </rPr>
      <t xml:space="preserve">= ((2031 EV+</t>
    </r>
    <r>
      <rPr>
        <i val="true"/>
        <sz val="11"/>
        <color rgb="FF808080"/>
        <rFont val="DejaVu Sans"/>
        <family val="2"/>
      </rPr>
      <t xml:space="preserve">期权</t>
    </r>
    <r>
      <rPr>
        <i val="true"/>
        <sz val="11"/>
        <color rgb="FF808080"/>
        <rFont val="DejaVu Sans"/>
        <family val="2"/>
        <charset val="1"/>
      </rPr>
      <t xml:space="preserve">)/</t>
    </r>
    <r>
      <rPr>
        <i val="true"/>
        <sz val="11"/>
        <color rgb="FF808080"/>
        <rFont val="DejaVu Sans"/>
        <family val="2"/>
      </rPr>
      <t xml:space="preserve">今天买入市值</t>
    </r>
    <r>
      <rPr>
        <i val="true"/>
        <sz val="11"/>
        <color rgb="FF808080"/>
        <rFont val="DejaVu Sans"/>
        <family val="2"/>
        <charset val="1"/>
      </rPr>
      <t xml:space="preserve">)^(1/5) − 1</t>
    </r>
    <r>
      <rPr>
        <i val="true"/>
        <sz val="11"/>
        <color rgb="FF808080"/>
        <rFont val="DejaVu Sans"/>
        <family val="2"/>
      </rPr>
      <t xml:space="preserve">；公允买入对应折现率 </t>
    </r>
    <r>
      <rPr>
        <i val="true"/>
        <sz val="11"/>
        <color rgb="FF808080"/>
        <rFont val="DejaVu Sans"/>
        <family val="2"/>
        <charset val="1"/>
      </rPr>
      <t xml:space="preserve">10%</t>
    </r>
  </si>
  <si>
    <t xml:space="preserve">三、决策框架</t>
  </si>
  <si>
    <t xml:space="preserve">当前价位定位</t>
  </si>
  <si>
    <t xml:space="preserve">隐含情景</t>
  </si>
  <si>
    <r>
      <rPr>
        <sz val="11"/>
        <color theme="1"/>
        <rFont val="DejaVu Sans"/>
        <family val="2"/>
      </rPr>
      <t xml:space="preserve">当前价 </t>
    </r>
    <r>
      <rPr>
        <sz val="11"/>
        <color theme="1"/>
        <rFont val="DejaVu Sans"/>
        <family val="2"/>
        <charset val="1"/>
      </rPr>
      <t xml:space="preserve">vs Bear </t>
    </r>
    <r>
      <rPr>
        <sz val="11"/>
        <color theme="1"/>
        <rFont val="DejaVu Sans"/>
        <family val="2"/>
      </rPr>
      <t xml:space="preserve">公允</t>
    </r>
  </si>
  <si>
    <r>
      <rPr>
        <sz val="11"/>
        <color theme="1"/>
        <rFont val="DejaVu Sans"/>
        <family val="2"/>
      </rPr>
      <t xml:space="preserve">当前价 </t>
    </r>
    <r>
      <rPr>
        <sz val="11"/>
        <color theme="1"/>
        <rFont val="DejaVu Sans"/>
        <family val="2"/>
        <charset val="1"/>
      </rPr>
      <t xml:space="preserve">vs Base </t>
    </r>
    <r>
      <rPr>
        <sz val="11"/>
        <color theme="1"/>
        <rFont val="DejaVu Sans"/>
        <family val="2"/>
      </rPr>
      <t xml:space="preserve">公允</t>
    </r>
  </si>
  <si>
    <r>
      <rPr>
        <sz val="11"/>
        <color theme="1"/>
        <rFont val="DejaVu Sans"/>
        <family val="2"/>
      </rPr>
      <t xml:space="preserve">当前价 </t>
    </r>
    <r>
      <rPr>
        <sz val="11"/>
        <color theme="1"/>
        <rFont val="DejaVu Sans"/>
        <family val="2"/>
        <charset val="1"/>
      </rPr>
      <t xml:space="preserve">vs Bull </t>
    </r>
    <r>
      <rPr>
        <sz val="11"/>
        <color theme="1"/>
        <rFont val="DejaVu Sans"/>
        <family val="2"/>
      </rPr>
      <t xml:space="preserve">公允</t>
    </r>
  </si>
  <si>
    <r>
      <rPr>
        <sz val="11"/>
        <color theme="1"/>
        <rFont val="DejaVu Sans"/>
        <family val="2"/>
      </rPr>
      <t xml:space="preserve">当前价 </t>
    </r>
    <r>
      <rPr>
        <sz val="11"/>
        <color theme="1"/>
        <rFont val="DejaVu Sans"/>
        <family val="2"/>
        <charset val="1"/>
      </rPr>
      <t xml:space="preserve">vs </t>
    </r>
    <r>
      <rPr>
        <sz val="11"/>
        <color theme="1"/>
        <rFont val="DejaVu Sans"/>
        <family val="2"/>
      </rPr>
      <t xml:space="preserve">主营加权</t>
    </r>
  </si>
  <si>
    <r>
      <rPr>
        <b val="true"/>
        <sz val="11"/>
        <rFont val="DejaVu Sans"/>
        <family val="2"/>
      </rPr>
      <t xml:space="preserve">当前价 </t>
    </r>
    <r>
      <rPr>
        <b val="true"/>
        <sz val="11"/>
        <rFont val="DejaVu Sans"/>
        <family val="2"/>
        <charset val="1"/>
      </rPr>
      <t xml:space="preserve">vs </t>
    </r>
    <r>
      <rPr>
        <b val="true"/>
        <sz val="11"/>
        <rFont val="DejaVu Sans"/>
        <family val="2"/>
      </rPr>
      <t xml:space="preserve">总公允</t>
    </r>
    <r>
      <rPr>
        <b val="true"/>
        <sz val="11"/>
        <rFont val="DejaVu Sans"/>
        <family val="2"/>
        <charset val="1"/>
      </rPr>
      <t xml:space="preserve">(</t>
    </r>
    <r>
      <rPr>
        <b val="true"/>
        <sz val="11"/>
        <rFont val="DejaVu Sans"/>
        <family val="2"/>
      </rPr>
      <t xml:space="preserve">含期权</t>
    </r>
    <r>
      <rPr>
        <b val="true"/>
        <sz val="11"/>
        <rFont val="DejaVu Sans"/>
        <family val="2"/>
        <charset val="1"/>
      </rPr>
      <t xml:space="preserve">)</t>
    </r>
  </si>
  <si>
    <t xml:space="preserve">决策矩阵（基于总公允，含期权）</t>
  </si>
  <si>
    <t xml:space="preserve">偏离区间</t>
  </si>
  <si>
    <t xml:space="preserve">决策建议</t>
  </si>
  <si>
    <t xml:space="preserve">理由</t>
  </si>
  <si>
    <t xml:space="preserve">&lt; -20%</t>
  </si>
  <si>
    <t xml:space="preserve">⭐ 买入信号</t>
  </si>
  <si>
    <r>
      <rPr>
        <sz val="11"/>
        <color theme="1"/>
        <rFont val="DejaVu Sans"/>
        <family val="2"/>
      </rPr>
      <t xml:space="preserve">估值显著低估</t>
    </r>
    <r>
      <rPr>
        <sz val="11"/>
        <color theme="1"/>
        <rFont val="DejaVu Sans"/>
        <family val="2"/>
        <charset val="1"/>
      </rPr>
      <t xml:space="preserve">; </t>
    </r>
    <r>
      <rPr>
        <sz val="11"/>
        <color theme="1"/>
        <rFont val="DejaVu Sans"/>
        <family val="2"/>
      </rPr>
      <t xml:space="preserve">年化回报 </t>
    </r>
    <r>
      <rPr>
        <sz val="11"/>
        <color theme="1"/>
        <rFont val="DejaVu Sans"/>
        <family val="2"/>
        <charset val="1"/>
      </rPr>
      <t xml:space="preserve">&gt; </t>
    </r>
    <r>
      <rPr>
        <sz val="11"/>
        <color theme="1"/>
        <rFont val="DejaVu Sans"/>
        <family val="2"/>
      </rPr>
      <t xml:space="preserve">折现率</t>
    </r>
  </si>
  <si>
    <r>
      <rPr>
        <sz val="11"/>
        <color theme="1"/>
        <rFont val="Calibri"/>
        <family val="2"/>
        <charset val="1"/>
      </rPr>
      <t xml:space="preserve">-20% </t>
    </r>
    <r>
      <rPr>
        <sz val="11"/>
        <color theme="1"/>
        <rFont val="DejaVu Sans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-5%</t>
    </r>
  </si>
  <si>
    <t xml:space="preserve">✅ 合理买点</t>
  </si>
  <si>
    <r>
      <rPr>
        <sz val="11"/>
        <color theme="1"/>
        <rFont val="DejaVu Sans"/>
        <family val="2"/>
      </rPr>
      <t xml:space="preserve">小幅低估</t>
    </r>
    <r>
      <rPr>
        <sz val="11"/>
        <color theme="1"/>
        <rFont val="DejaVu Sans"/>
        <family val="2"/>
        <charset val="1"/>
      </rPr>
      <t xml:space="preserve">; </t>
    </r>
    <r>
      <rPr>
        <sz val="11"/>
        <color theme="1"/>
        <rFont val="DejaVu Sans"/>
        <family val="2"/>
      </rPr>
      <t xml:space="preserve">期望回报接近或略高于折现率</t>
    </r>
  </si>
  <si>
    <r>
      <rPr>
        <sz val="11"/>
        <color theme="1"/>
        <rFont val="Calibri"/>
        <family val="2"/>
        <charset val="1"/>
      </rPr>
      <t xml:space="preserve">-5% </t>
    </r>
    <r>
      <rPr>
        <sz val="11"/>
        <color theme="1"/>
        <rFont val="DejaVu Sans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+5%</t>
    </r>
  </si>
  <si>
    <t xml:space="preserve">➖ 中性持有</t>
  </si>
  <si>
    <r>
      <rPr>
        <sz val="11"/>
        <color theme="1"/>
        <rFont val="DejaVu Sans"/>
        <family val="2"/>
      </rPr>
      <t xml:space="preserve">基本 </t>
    </r>
    <r>
      <rPr>
        <sz val="11"/>
        <color theme="1"/>
        <rFont val="DejaVu Sans"/>
        <family val="2"/>
        <charset val="1"/>
      </rPr>
      <t xml:space="preserve">fair; </t>
    </r>
    <r>
      <rPr>
        <sz val="11"/>
        <color theme="1"/>
        <rFont val="DejaVu Sans"/>
        <family val="2"/>
      </rPr>
      <t xml:space="preserve">期望回报 ≈ 折现率 </t>
    </r>
    <r>
      <rPr>
        <sz val="11"/>
        <color theme="1"/>
        <rFont val="DejaVu Sans"/>
        <family val="2"/>
        <charset val="1"/>
      </rPr>
      <t xml:space="preserve">(10%)</t>
    </r>
  </si>
  <si>
    <r>
      <rPr>
        <sz val="11"/>
        <color theme="1"/>
        <rFont val="Calibri"/>
        <family val="2"/>
        <charset val="1"/>
      </rPr>
      <t xml:space="preserve">+5% </t>
    </r>
    <r>
      <rPr>
        <sz val="11"/>
        <color theme="1"/>
        <rFont val="DejaVu Sans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+20%</t>
    </r>
  </si>
  <si>
    <t xml:space="preserve">⚠️ 警惕</t>
  </si>
  <si>
    <r>
      <rPr>
        <sz val="11"/>
        <color theme="1"/>
        <rFont val="DejaVu Sans"/>
        <family val="2"/>
      </rPr>
      <t xml:space="preserve">已部分透支 </t>
    </r>
    <r>
      <rPr>
        <sz val="11"/>
        <color theme="1"/>
        <rFont val="DejaVu Sans"/>
        <family val="2"/>
        <charset val="1"/>
      </rPr>
      <t xml:space="preserve">Bull case; </t>
    </r>
    <r>
      <rPr>
        <sz val="11"/>
        <color theme="1"/>
        <rFont val="DejaVu Sans"/>
        <family val="2"/>
      </rPr>
      <t xml:space="preserve">期望回报压缩</t>
    </r>
  </si>
  <si>
    <t xml:space="preserve">&gt; +20%</t>
  </si>
  <si>
    <t xml:space="preserve">❌ 避免买入</t>
  </si>
  <si>
    <r>
      <rPr>
        <sz val="11"/>
        <color theme="1"/>
        <rFont val="DejaVu Sans"/>
        <family val="2"/>
      </rPr>
      <t xml:space="preserve">估值显著透支</t>
    </r>
    <r>
      <rPr>
        <sz val="11"/>
        <color theme="1"/>
        <rFont val="DejaVu Sans"/>
        <family val="2"/>
        <charset val="1"/>
      </rPr>
      <t xml:space="preserve">; </t>
    </r>
    <r>
      <rPr>
        <sz val="11"/>
        <color theme="1"/>
        <rFont val="DejaVu Sans"/>
        <family val="2"/>
      </rPr>
      <t xml:space="preserve">期望回报远低于折现率</t>
    </r>
  </si>
  <si>
    <t xml:space="preserve">⭐ 基于当前数据的决策</t>
  </si>
  <si>
    <r>
      <rPr>
        <b val="true"/>
        <sz val="14"/>
        <rFont val="Cambria"/>
        <family val="0"/>
        <charset val="1"/>
      </rPr>
      <t xml:space="preserve">Tesla </t>
    </r>
    <r>
      <rPr>
        <b val="true"/>
        <sz val="14"/>
        <rFont val="DejaVu Sans"/>
        <family val="2"/>
      </rPr>
      <t xml:space="preserve">季度跟踪表 — </t>
    </r>
    <r>
      <rPr>
        <b val="true"/>
        <sz val="14"/>
        <rFont val="Cambria"/>
        <family val="0"/>
        <charset val="1"/>
      </rPr>
      <t xml:space="preserve">Q1 2026 </t>
    </r>
    <r>
      <rPr>
        <b val="true"/>
        <sz val="14"/>
        <rFont val="DejaVu Sans"/>
        <family val="2"/>
      </rPr>
      <t xml:space="preserve">基线 </t>
    </r>
    <r>
      <rPr>
        <b val="true"/>
        <sz val="14"/>
        <rFont val="Cambria"/>
        <family val="0"/>
        <charset val="1"/>
      </rPr>
      <t xml:space="preserve">+ </t>
    </r>
    <r>
      <rPr>
        <b val="true"/>
        <sz val="14"/>
        <rFont val="DejaVu Sans"/>
        <family val="2"/>
      </rPr>
      <t xml:space="preserve">后续填充</t>
    </r>
  </si>
  <si>
    <r>
      <rPr>
        <b val="true"/>
        <sz val="12"/>
        <rFont val="DejaVu Sans"/>
        <family val="2"/>
      </rPr>
      <t xml:space="preserve">一、营收对比 </t>
    </r>
    <r>
      <rPr>
        <b val="true"/>
        <sz val="12"/>
        <rFont val="DejaVu Sans"/>
        <family val="2"/>
        <charset val="1"/>
      </rPr>
      <t xml:space="preserve">vs </t>
    </r>
    <r>
      <rPr>
        <b val="true"/>
        <sz val="12"/>
        <rFont val="DejaVu Sans"/>
        <family val="2"/>
      </rPr>
      <t xml:space="preserve">预测</t>
    </r>
  </si>
  <si>
    <t xml:space="preserve">Q1 2025</t>
  </si>
  <si>
    <t xml:space="preserve">Q2 2025</t>
  </si>
  <si>
    <t xml:space="preserve">Q3 2025</t>
  </si>
  <si>
    <t xml:space="preserve">Q4 2025</t>
  </si>
  <si>
    <t xml:space="preserve">Q1 2026</t>
  </si>
  <si>
    <t xml:space="preserve">TTM</t>
  </si>
  <si>
    <r>
      <rPr>
        <b val="true"/>
        <sz val="11"/>
        <rFont val="Cambria"/>
        <family val="0"/>
        <charset val="1"/>
      </rPr>
      <t xml:space="preserve">Base </t>
    </r>
    <r>
      <rPr>
        <b val="true"/>
        <sz val="11"/>
        <rFont val="DejaVu Sans"/>
        <family val="2"/>
      </rPr>
      <t xml:space="preserve">预期 </t>
    </r>
    <r>
      <rPr>
        <b val="true"/>
        <sz val="11"/>
        <rFont val="Cambria"/>
        <family val="0"/>
        <charset val="1"/>
      </rPr>
      <t xml:space="preserve">Q1</t>
    </r>
  </si>
  <si>
    <t xml:space="preserve">偏离</t>
  </si>
  <si>
    <t xml:space="preserve">Auto Reg Credits</t>
  </si>
  <si>
    <t xml:space="preserve">二、季度核心指标</t>
  </si>
  <si>
    <t xml:space="preserve">指标</t>
  </si>
  <si>
    <t xml:space="preserve">YoY</t>
  </si>
  <si>
    <r>
      <rPr>
        <sz val="11"/>
        <color theme="1"/>
        <rFont val="DejaVu Sans"/>
        <family val="2"/>
      </rPr>
      <t xml:space="preserve">总营收 </t>
    </r>
    <r>
      <rPr>
        <sz val="11"/>
        <color theme="1"/>
        <rFont val="DejaVu Sans"/>
        <family val="2"/>
        <charset val="1"/>
      </rPr>
      <t xml:space="preserve">($B)</t>
    </r>
  </si>
  <si>
    <r>
      <rPr>
        <sz val="11"/>
        <color theme="1"/>
        <rFont val="DejaVu Sans"/>
        <family val="2"/>
      </rPr>
      <t xml:space="preserve">总毛利率 </t>
    </r>
    <r>
      <rPr>
        <sz val="11"/>
        <color theme="1"/>
        <rFont val="DejaVu Sans"/>
        <family val="2"/>
        <charset val="1"/>
      </rPr>
      <t xml:space="preserve">(%)</t>
    </r>
  </si>
  <si>
    <r>
      <rPr>
        <sz val="11"/>
        <color theme="1"/>
        <rFont val="DejaVu Sans"/>
        <family val="2"/>
      </rPr>
      <t xml:space="preserve">营业利润率 </t>
    </r>
    <r>
      <rPr>
        <sz val="11"/>
        <color theme="1"/>
        <rFont val="DejaVu Sans"/>
        <family val="2"/>
        <charset val="1"/>
      </rPr>
      <t xml:space="preserve">(%)</t>
    </r>
  </si>
  <si>
    <t xml:space="preserve">Adjusted EBITDA ($B)</t>
  </si>
  <si>
    <t xml:space="preserve">GAAP EPS ($)</t>
  </si>
  <si>
    <t xml:space="preserve">Non-GAAP EPS ($)</t>
  </si>
  <si>
    <r>
      <rPr>
        <sz val="11"/>
        <color theme="1"/>
        <rFont val="DejaVu Sans"/>
        <family val="2"/>
      </rPr>
      <t xml:space="preserve">交付量 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千辆</t>
    </r>
    <r>
      <rPr>
        <sz val="11"/>
        <color theme="1"/>
        <rFont val="DejaVu Sans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</si>
  <si>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FSD </t>
    </r>
    <r>
      <rPr>
        <sz val="11"/>
        <color theme="1"/>
        <rFont val="DejaVu Sans"/>
        <family val="2"/>
      </rPr>
      <t xml:space="preserve">订阅 </t>
    </r>
    <r>
      <rPr>
        <sz val="11"/>
        <color theme="1"/>
        <rFont val="Calibri"/>
        <family val="2"/>
        <charset val="1"/>
      </rPr>
      <t xml:space="preserve">(M)</t>
    </r>
  </si>
  <si>
    <r>
      <rPr>
        <sz val="11"/>
        <color theme="1"/>
        <rFont val="DejaVu Sans"/>
        <family val="2"/>
      </rPr>
      <t xml:space="preserve">储能部署 </t>
    </r>
    <r>
      <rPr>
        <sz val="11"/>
        <color theme="1"/>
        <rFont val="DejaVu Sans"/>
        <family val="2"/>
        <charset val="1"/>
      </rPr>
      <t xml:space="preserve">(GWh)</t>
    </r>
  </si>
  <si>
    <t xml:space="preserve">Capex ($B)</t>
  </si>
  <si>
    <t xml:space="preserve">FCF ($B)</t>
  </si>
  <si>
    <t xml:space="preserve">Cash + ST Investments ($B)</t>
  </si>
  <si>
    <t xml:space="preserve">使用提示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</si>
  <si>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每季报后填入新一列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移动到右侧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</si>
  <si>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偏离 </t>
    </r>
    <r>
      <rPr>
        <sz val="11"/>
        <color theme="1"/>
        <rFont val="Calibri"/>
        <family val="2"/>
        <charset val="1"/>
      </rPr>
      <t xml:space="preserve">&gt; ±10% </t>
    </r>
    <r>
      <rPr>
        <sz val="11"/>
        <color theme="1"/>
        <rFont val="DejaVu Sans"/>
        <family val="2"/>
      </rPr>
      <t xml:space="preserve">警戒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反向调整 </t>
    </r>
    <r>
      <rPr>
        <sz val="11"/>
        <color theme="1"/>
        <rFont val="Calibri"/>
        <family val="2"/>
        <charset val="1"/>
      </rPr>
      <t xml:space="preserve">Sheet 1 CAGR </t>
    </r>
    <r>
      <rPr>
        <sz val="11"/>
        <color theme="1"/>
        <rFont val="DejaVu Sans"/>
        <family val="2"/>
      </rPr>
      <t xml:space="preserve">假设</t>
    </r>
  </si>
  <si>
    <r>
      <rPr>
        <sz val="11"/>
        <color theme="1"/>
        <rFont val="Calibri"/>
        <family val="2"/>
        <charset val="1"/>
      </rPr>
      <t xml:space="preserve">· FSD </t>
    </r>
    <r>
      <rPr>
        <sz val="11"/>
        <color theme="1"/>
        <rFont val="DejaVu Sans"/>
        <family val="2"/>
      </rPr>
      <t xml:space="preserve">订阅是关键先行指标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</si>
  <si>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储能 </t>
    </r>
    <r>
      <rPr>
        <sz val="11"/>
        <color theme="1"/>
        <rFont val="Calibri"/>
        <family val="2"/>
        <charset val="1"/>
      </rPr>
      <t xml:space="preserve">-15% YoY </t>
    </r>
    <r>
      <rPr>
        <sz val="11"/>
        <color theme="1"/>
        <rFont val="DejaVu Sans"/>
        <family val="2"/>
      </rPr>
      <t xml:space="preserve">是当前主要警告信号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跟踪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DejaVu Sans"/>
        <family val="2"/>
      </rPr>
      <t xml:space="preserve">是否回升</t>
    </r>
  </si>
  <si>
    <r>
      <rPr>
        <b val="true"/>
        <sz val="14"/>
        <color rgb="FF2E7D32"/>
        <rFont val="DejaVu Sans"/>
        <family val="2"/>
      </rPr>
      <t xml:space="preserve">特斯拉期权组合估值（</t>
    </r>
    <r>
      <rPr>
        <b val="true"/>
        <sz val="14"/>
        <color rgb="FF2E7D32"/>
        <rFont val="DejaVu Sans"/>
        <family val="2"/>
        <charset val="1"/>
      </rPr>
      <t xml:space="preserve">Real Option Value</t>
    </r>
    <r>
      <rPr>
        <b val="true"/>
        <sz val="14"/>
        <color rgb="FF2E7D32"/>
        <rFont val="DejaVu Sans"/>
        <family val="2"/>
      </rPr>
      <t xml:space="preserve">）</t>
    </r>
  </si>
  <si>
    <r>
      <rPr>
        <i val="true"/>
        <sz val="11"/>
        <color rgb="FF808080"/>
        <rFont val="DejaVu Sans"/>
        <family val="2"/>
      </rPr>
      <t xml:space="preserve">原理：</t>
    </r>
    <r>
      <rPr>
        <i val="true"/>
        <sz val="11"/>
        <color rgb="FF808080"/>
        <rFont val="DejaVu Sans"/>
        <family val="2"/>
        <charset val="1"/>
      </rPr>
      <t xml:space="preserve">5 </t>
    </r>
    <r>
      <rPr>
        <i val="true"/>
        <sz val="11"/>
        <color rgb="FF808080"/>
        <rFont val="DejaVu Sans"/>
        <family val="2"/>
      </rPr>
      <t xml:space="preserve">个未来业务的概率加权 </t>
    </r>
    <r>
      <rPr>
        <i val="true"/>
        <sz val="11"/>
        <color rgb="FF808080"/>
        <rFont val="DejaVu Sans"/>
        <family val="2"/>
        <charset val="1"/>
      </rPr>
      <t xml:space="preserve">+ </t>
    </r>
    <r>
      <rPr>
        <i val="true"/>
        <sz val="11"/>
        <color rgb="FF808080"/>
        <rFont val="DejaVu Sans"/>
        <family val="2"/>
      </rPr>
      <t xml:space="preserve">保守系数 </t>
    </r>
    <r>
      <rPr>
        <i val="true"/>
        <sz val="11"/>
        <color rgb="FF808080"/>
        <rFont val="DejaVu Sans"/>
        <family val="2"/>
        <charset val="1"/>
      </rPr>
      <t xml:space="preserve">+ </t>
    </r>
    <r>
      <rPr>
        <i val="true"/>
        <sz val="11"/>
        <color rgb="FF808080"/>
        <rFont val="DejaVu Sans"/>
        <family val="2"/>
      </rPr>
      <t xml:space="preserve">时间折现</t>
    </r>
  </si>
  <si>
    <t xml:space="preserve">一、五个期权业务的识别与估值</t>
  </si>
  <si>
    <t xml:space="preserve">期权业务</t>
  </si>
  <si>
    <t xml:space="preserve">当前进展</t>
  </si>
  <si>
    <r>
      <rPr>
        <b val="true"/>
        <sz val="11"/>
        <rFont val="DejaVu Sans"/>
        <family val="2"/>
      </rPr>
      <t xml:space="preserve">上限估值 </t>
    </r>
    <r>
      <rPr>
        <b val="true"/>
        <sz val="11"/>
        <rFont val="DejaVu Sans"/>
        <family val="2"/>
        <charset val="1"/>
      </rPr>
      <t xml:space="preserve">($B)</t>
    </r>
  </si>
  <si>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DejaVu Sans"/>
        <family val="2"/>
      </rPr>
      <t xml:space="preserve">年成熟概率</t>
    </r>
  </si>
  <si>
    <r>
      <rPr>
        <b val="true"/>
        <sz val="11"/>
        <rFont val="DejaVu Sans"/>
        <family val="2"/>
      </rPr>
      <t xml:space="preserve">今天期望值 </t>
    </r>
    <r>
      <rPr>
        <b val="true"/>
        <sz val="11"/>
        <rFont val="DejaVu Sans"/>
        <family val="2"/>
        <charset val="1"/>
      </rPr>
      <t xml:space="preserve">($B)</t>
    </r>
  </si>
  <si>
    <r>
      <rPr>
        <b val="true"/>
        <sz val="11"/>
        <rFont val="DejaVu Sans"/>
        <family val="2"/>
      </rPr>
      <t xml:space="preserve">逻辑</t>
    </r>
    <r>
      <rPr>
        <b val="true"/>
        <sz val="11"/>
        <rFont val="DejaVu Sans"/>
        <family val="2"/>
        <charset val="1"/>
      </rPr>
      <t xml:space="preserve">/</t>
    </r>
    <r>
      <rPr>
        <b val="true"/>
        <sz val="11"/>
        <rFont val="DejaVu Sans"/>
        <family val="2"/>
      </rPr>
      <t xml:space="preserve">参考</t>
    </r>
  </si>
  <si>
    <r>
      <rPr>
        <sz val="11"/>
        <color theme="1"/>
        <rFont val="Calibri"/>
        <family val="2"/>
        <charset val="1"/>
      </rPr>
      <t xml:space="preserve">Robotaxi </t>
    </r>
    <r>
      <rPr>
        <sz val="11"/>
        <color theme="1"/>
        <rFont val="DejaVu Sans"/>
        <family val="2"/>
      </rPr>
      <t xml:space="preserve">网络</t>
    </r>
  </si>
  <si>
    <r>
      <rPr>
        <sz val="11"/>
        <color theme="1"/>
        <rFont val="Calibri"/>
        <family val="2"/>
        <charset val="1"/>
      </rPr>
      <t xml:space="preserve">Austin/Dallas/Houston </t>
    </r>
    <r>
      <rPr>
        <sz val="11"/>
        <color theme="1"/>
        <rFont val="DejaVu Sans"/>
        <family val="2"/>
      </rPr>
      <t xml:space="preserve">早期</t>
    </r>
    <r>
      <rPr>
        <sz val="11"/>
        <color theme="1"/>
        <rFont val="Calibri"/>
        <family val="2"/>
        <charset val="1"/>
      </rPr>
      <t xml:space="preserve">; Q1 </t>
    </r>
    <r>
      <rPr>
        <sz val="11"/>
        <color theme="1"/>
        <rFont val="DejaVu Sans"/>
        <family val="2"/>
      </rPr>
      <t xml:space="preserve">累计 </t>
    </r>
    <r>
      <rPr>
        <sz val="11"/>
        <color theme="1"/>
        <rFont val="Calibri"/>
        <family val="2"/>
        <charset val="1"/>
      </rPr>
      <t xml:space="preserve">~1.6M </t>
    </r>
    <r>
      <rPr>
        <sz val="11"/>
        <color theme="1"/>
        <rFont val="DejaVu Sans"/>
        <family val="2"/>
      </rPr>
      <t xml:space="preserve">付费英里</t>
    </r>
  </si>
  <si>
    <r>
      <rPr>
        <sz val="11"/>
        <color theme="1"/>
        <rFont val="Calibri"/>
        <family val="2"/>
        <charset val="1"/>
      </rPr>
      <t xml:space="preserve">UBER </t>
    </r>
    <r>
      <rPr>
        <sz val="11"/>
        <color theme="1"/>
        <rFont val="DejaVu Sans"/>
        <family val="2"/>
      </rPr>
      <t xml:space="preserve">当前估值 </t>
    </r>
    <r>
      <rPr>
        <sz val="11"/>
        <color theme="1"/>
        <rFont val="Calibri"/>
        <family val="2"/>
        <charset val="1"/>
      </rPr>
      <t xml:space="preserve">$170B (1.6B </t>
    </r>
    <r>
      <rPr>
        <sz val="11"/>
        <color theme="1"/>
        <rFont val="DejaVu Sans"/>
        <family val="2"/>
      </rPr>
      <t xml:space="preserve">完成订单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, 8% take rate). Tesla Robotaxi </t>
    </r>
    <r>
      <rPr>
        <sz val="11"/>
        <color theme="1"/>
        <rFont val="DejaVu Sans"/>
        <family val="2"/>
      </rPr>
      <t xml:space="preserve">利润率优势大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无司机</t>
    </r>
    <r>
      <rPr>
        <sz val="11"/>
        <color theme="1"/>
        <rFont val="Calibri"/>
        <family val="2"/>
        <charset val="1"/>
      </rPr>
      <t xml:space="preserve">); </t>
    </r>
    <r>
      <rPr>
        <sz val="11"/>
        <color theme="1"/>
        <rFont val="DejaVu Sans"/>
        <family val="2"/>
      </rPr>
      <t xml:space="preserve">假设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年达 </t>
    </r>
    <r>
      <rPr>
        <sz val="11"/>
        <color theme="1"/>
        <rFont val="Calibri"/>
        <family val="2"/>
        <charset val="1"/>
      </rPr>
      <t xml:space="preserve">1/3 UBER </t>
    </r>
    <r>
      <rPr>
        <sz val="11"/>
        <color theme="1"/>
        <rFont val="DejaVu Sans"/>
        <family val="2"/>
      </rPr>
      <t xml:space="preserve">规模 </t>
    </r>
    <r>
      <rPr>
        <sz val="11"/>
        <color theme="1"/>
        <rFont val="Calibri"/>
        <family val="2"/>
        <charset val="1"/>
      </rPr>
      <t xml:space="preserve">+ 4x </t>
    </r>
    <r>
      <rPr>
        <sz val="11"/>
        <color theme="1"/>
        <rFont val="DejaVu Sans"/>
        <family val="2"/>
      </rPr>
      <t xml:space="preserve">利润率溢价</t>
    </r>
  </si>
  <si>
    <r>
      <rPr>
        <sz val="11"/>
        <color theme="1"/>
        <rFont val="Calibri"/>
        <family val="2"/>
        <charset val="1"/>
      </rPr>
      <t xml:space="preserve">Cybercab </t>
    </r>
    <r>
      <rPr>
        <sz val="11"/>
        <color theme="1"/>
        <rFont val="DejaVu Sans"/>
        <family val="2"/>
      </rPr>
      <t xml:space="preserve">车型</t>
    </r>
  </si>
  <si>
    <r>
      <rPr>
        <sz val="11"/>
        <color theme="1"/>
        <rFont val="DejaVu Sans"/>
        <family val="2"/>
      </rPr>
      <t xml:space="preserve">试点生产 </t>
    </r>
    <r>
      <rPr>
        <sz val="11"/>
        <color theme="1"/>
        <rFont val="DejaVu Sans"/>
        <family val="2"/>
        <charset val="1"/>
      </rPr>
      <t xml:space="preserve">(Gigafactory Texas)</t>
    </r>
  </si>
  <si>
    <r>
      <rPr>
        <sz val="11"/>
        <color theme="1"/>
        <rFont val="DejaVu Sans"/>
        <family val="2"/>
      </rPr>
      <t xml:space="preserve">设计为最便宜的自动驾驶车型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用于 </t>
    </r>
    <r>
      <rPr>
        <sz val="11"/>
        <color theme="1"/>
        <rFont val="DejaVu Sans"/>
        <family val="2"/>
        <charset val="1"/>
      </rPr>
      <t xml:space="preserve">Robotaxi </t>
    </r>
    <r>
      <rPr>
        <sz val="11"/>
        <color theme="1"/>
        <rFont val="DejaVu Sans"/>
        <family val="2"/>
      </rPr>
      <t xml:space="preserve">车队</t>
    </r>
    <r>
      <rPr>
        <sz val="11"/>
        <color theme="1"/>
        <rFont val="DejaVu Sans"/>
        <family val="2"/>
        <charset val="1"/>
      </rPr>
      <t xml:space="preserve">; </t>
    </r>
    <r>
      <rPr>
        <sz val="11"/>
        <color theme="1"/>
        <rFont val="DejaVu Sans"/>
        <family val="2"/>
      </rPr>
      <t xml:space="preserve">假设 </t>
    </r>
    <r>
      <rPr>
        <sz val="11"/>
        <color theme="1"/>
        <rFont val="DejaVu Sans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年 </t>
    </r>
    <r>
      <rPr>
        <sz val="11"/>
        <color theme="1"/>
        <rFont val="DejaVu Sans"/>
        <family val="2"/>
        <charset val="1"/>
      </rPr>
      <t xml:space="preserve">500K/</t>
    </r>
    <r>
      <rPr>
        <sz val="11"/>
        <color theme="1"/>
        <rFont val="DejaVu Sans"/>
        <family val="2"/>
      </rPr>
      <t xml:space="preserve">年产能 </t>
    </r>
    <r>
      <rPr>
        <sz val="11"/>
        <color theme="1"/>
        <rFont val="DejaVu Sans"/>
        <family val="2"/>
        <charset val="1"/>
      </rPr>
      <t xml:space="preserve">× $25K </t>
    </r>
    <r>
      <rPr>
        <sz val="11"/>
        <color theme="1"/>
        <rFont val="DejaVu Sans"/>
        <family val="2"/>
      </rPr>
      <t xml:space="preserve">单价 </t>
    </r>
    <r>
      <rPr>
        <sz val="11"/>
        <color theme="1"/>
        <rFont val="DejaVu Sans"/>
        <family val="2"/>
        <charset val="1"/>
      </rPr>
      <t xml:space="preserve">× 8x P/S </t>
    </r>
    <r>
      <rPr>
        <sz val="11"/>
        <color theme="1"/>
        <rFont val="DejaVu Sans"/>
        <family val="2"/>
      </rPr>
      <t xml:space="preserve">倍数</t>
    </r>
  </si>
  <si>
    <t xml:space="preserve">Tesla Semi</t>
  </si>
  <si>
    <r>
      <rPr>
        <sz val="11"/>
        <color theme="1"/>
        <rFont val="DejaVu Sans"/>
        <family val="2"/>
      </rPr>
      <t xml:space="preserve">试点生产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公共 </t>
    </r>
    <r>
      <rPr>
        <sz val="11"/>
        <color theme="1"/>
        <rFont val="DejaVu Sans"/>
        <family val="2"/>
        <charset val="1"/>
      </rPr>
      <t xml:space="preserve">Megacharger </t>
    </r>
    <r>
      <rPr>
        <sz val="11"/>
        <color theme="1"/>
        <rFont val="DejaVu Sans"/>
        <family val="2"/>
      </rPr>
      <t xml:space="preserve">部署中</t>
    </r>
  </si>
  <si>
    <r>
      <rPr>
        <sz val="11"/>
        <color theme="1"/>
        <rFont val="DejaVu Sans"/>
        <family val="2"/>
      </rPr>
      <t xml:space="preserve">美国卡车市场 </t>
    </r>
    <r>
      <rPr>
        <sz val="11"/>
        <color theme="1"/>
        <rFont val="DejaVu Sans"/>
        <family val="2"/>
        <charset val="1"/>
      </rPr>
      <t xml:space="preserve">~$200B/</t>
    </r>
    <r>
      <rPr>
        <sz val="11"/>
        <color theme="1"/>
        <rFont val="DejaVu Sans"/>
        <family val="2"/>
      </rPr>
      <t xml:space="preserve">年</t>
    </r>
    <r>
      <rPr>
        <sz val="11"/>
        <color theme="1"/>
        <rFont val="DejaVu Sans"/>
        <family val="2"/>
        <charset val="1"/>
      </rPr>
      <t xml:space="preserve">; </t>
    </r>
    <r>
      <rPr>
        <sz val="11"/>
        <color theme="1"/>
        <rFont val="DejaVu Sans"/>
        <family val="2"/>
      </rPr>
      <t xml:space="preserve">假设 </t>
    </r>
    <r>
      <rPr>
        <sz val="11"/>
        <color theme="1"/>
        <rFont val="DejaVu Sans"/>
        <family val="2"/>
        <charset val="1"/>
      </rPr>
      <t xml:space="preserve">Tesla Semi 5 </t>
    </r>
    <r>
      <rPr>
        <sz val="11"/>
        <color theme="1"/>
        <rFont val="DejaVu Sans"/>
        <family val="2"/>
      </rPr>
      <t xml:space="preserve">年占 </t>
    </r>
    <r>
      <rPr>
        <sz val="11"/>
        <color theme="1"/>
        <rFont val="DejaVu Sans"/>
        <family val="2"/>
        <charset val="1"/>
      </rPr>
      <t xml:space="preserve">5% </t>
    </r>
    <r>
      <rPr>
        <sz val="11"/>
        <color theme="1"/>
        <rFont val="DejaVu Sans"/>
        <family val="2"/>
      </rPr>
      <t xml:space="preserve">份额 </t>
    </r>
    <r>
      <rPr>
        <sz val="11"/>
        <color theme="1"/>
        <rFont val="DejaVu Sans"/>
        <family val="2"/>
        <charset val="1"/>
      </rPr>
      <t xml:space="preserve">× 8x P/S</t>
    </r>
  </si>
  <si>
    <r>
      <rPr>
        <sz val="11"/>
        <color theme="1"/>
        <rFont val="Calibri"/>
        <family val="2"/>
        <charset val="1"/>
      </rPr>
      <t xml:space="preserve">Optimus </t>
    </r>
    <r>
      <rPr>
        <sz val="11"/>
        <color theme="1"/>
        <rFont val="DejaVu Sans"/>
        <family val="2"/>
      </rPr>
      <t xml:space="preserve">机器人</t>
    </r>
  </si>
  <si>
    <r>
      <rPr>
        <sz val="11"/>
        <color theme="1"/>
        <rFont val="DejaVu Sans"/>
        <family val="2"/>
      </rPr>
      <t xml:space="preserve">工厂建设中</t>
    </r>
    <r>
      <rPr>
        <sz val="11"/>
        <color theme="1"/>
        <rFont val="DejaVu Sans"/>
        <family val="2"/>
        <charset val="1"/>
      </rPr>
      <t xml:space="preserve">: </t>
    </r>
    <r>
      <rPr>
        <sz val="11"/>
        <color theme="1"/>
        <rFont val="DejaVu Sans"/>
        <family val="2"/>
      </rPr>
      <t xml:space="preserve">第 </t>
    </r>
    <r>
      <rPr>
        <sz val="11"/>
        <color theme="1"/>
        <rFont val="DejaVu Sans"/>
        <family val="2"/>
        <charset val="1"/>
      </rPr>
      <t xml:space="preserve">1 </t>
    </r>
    <r>
      <rPr>
        <sz val="11"/>
        <color theme="1"/>
        <rFont val="DejaVu Sans"/>
        <family val="2"/>
      </rPr>
      <t xml:space="preserve">代 </t>
    </r>
    <r>
      <rPr>
        <sz val="11"/>
        <color theme="1"/>
        <rFont val="DejaVu Sans"/>
        <family val="2"/>
        <charset val="1"/>
      </rPr>
      <t xml:space="preserve">100 </t>
    </r>
    <r>
      <rPr>
        <sz val="11"/>
        <color theme="1"/>
        <rFont val="DejaVu Sans"/>
        <family val="2"/>
      </rPr>
      <t xml:space="preserve">万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年 </t>
    </r>
    <r>
      <rPr>
        <sz val="11"/>
        <color theme="1"/>
        <rFont val="DejaVu Sans"/>
        <family val="2"/>
        <charset val="1"/>
      </rPr>
      <t xml:space="preserve">(Fremont </t>
    </r>
    <r>
      <rPr>
        <sz val="11"/>
        <color theme="1"/>
        <rFont val="DejaVu Sans"/>
        <family val="2"/>
      </rPr>
      <t xml:space="preserve">替换 </t>
    </r>
    <r>
      <rPr>
        <sz val="11"/>
        <color theme="1"/>
        <rFont val="DejaVu Sans"/>
        <family val="2"/>
        <charset val="1"/>
      </rPr>
      <t xml:space="preserve">S/X </t>
    </r>
    <r>
      <rPr>
        <sz val="11"/>
        <color theme="1"/>
        <rFont val="DejaVu Sans"/>
        <family val="2"/>
      </rPr>
      <t xml:space="preserve">线</t>
    </r>
    <r>
      <rPr>
        <sz val="11"/>
        <color theme="1"/>
        <rFont val="DejaVu Sans"/>
        <family val="2"/>
        <charset val="1"/>
      </rPr>
      <t xml:space="preserve">); </t>
    </r>
    <r>
      <rPr>
        <sz val="11"/>
        <color theme="1"/>
        <rFont val="DejaVu Sans"/>
        <family val="2"/>
      </rPr>
      <t xml:space="preserve">第 </t>
    </r>
    <r>
      <rPr>
        <sz val="11"/>
        <color theme="1"/>
        <rFont val="DejaVu Sans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代 </t>
    </r>
    <r>
      <rPr>
        <sz val="11"/>
        <color theme="1"/>
        <rFont val="DejaVu Sans"/>
        <family val="2"/>
        <charset val="1"/>
      </rPr>
      <t xml:space="preserve">1000 </t>
    </r>
    <r>
      <rPr>
        <sz val="11"/>
        <color theme="1"/>
        <rFont val="DejaVu Sans"/>
        <family val="2"/>
      </rPr>
      <t xml:space="preserve">万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年</t>
    </r>
  </si>
  <si>
    <r>
      <rPr>
        <sz val="11"/>
        <color theme="1"/>
        <rFont val="DejaVu Sans"/>
        <family val="2"/>
      </rPr>
      <t xml:space="preserve">马斯克目标年产 </t>
    </r>
    <r>
      <rPr>
        <sz val="11"/>
        <color theme="1"/>
        <rFont val="DejaVu Sans"/>
        <family val="2"/>
        <charset val="1"/>
      </rPr>
      <t xml:space="preserve">1000 </t>
    </r>
    <r>
      <rPr>
        <sz val="11"/>
        <color theme="1"/>
        <rFont val="DejaVu Sans"/>
        <family val="2"/>
      </rPr>
      <t xml:space="preserve">万台 </t>
    </r>
    <r>
      <rPr>
        <sz val="11"/>
        <color theme="1"/>
        <rFont val="DejaVu Sans"/>
        <family val="2"/>
        <charset val="1"/>
      </rPr>
      <t xml:space="preserve">× $20K </t>
    </r>
    <r>
      <rPr>
        <sz val="11"/>
        <color theme="1"/>
        <rFont val="DejaVu Sans"/>
        <family val="2"/>
      </rPr>
      <t xml:space="preserve">售价 </t>
    </r>
    <r>
      <rPr>
        <sz val="11"/>
        <color theme="1"/>
        <rFont val="DejaVu Sans"/>
        <family val="2"/>
        <charset val="1"/>
      </rPr>
      <t xml:space="preserve">= $200B </t>
    </r>
    <r>
      <rPr>
        <sz val="11"/>
        <color theme="1"/>
        <rFont val="DejaVu Sans"/>
        <family val="2"/>
      </rPr>
      <t xml:space="preserve">收入</t>
    </r>
    <r>
      <rPr>
        <sz val="11"/>
        <color theme="1"/>
        <rFont val="DejaVu Sans"/>
        <family val="2"/>
        <charset val="1"/>
      </rPr>
      <t xml:space="preserve">. 5 </t>
    </r>
    <r>
      <rPr>
        <sz val="11"/>
        <color theme="1"/>
        <rFont val="DejaVu Sans"/>
        <family val="2"/>
      </rPr>
      <t xml:space="preserve">年内不太可能完全实现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给 </t>
    </r>
    <r>
      <rPr>
        <sz val="11"/>
        <color theme="1"/>
        <rFont val="DejaVu Sans"/>
        <family val="2"/>
        <charset val="1"/>
      </rPr>
      <t xml:space="preserve">20% </t>
    </r>
    <r>
      <rPr>
        <sz val="11"/>
        <color theme="1"/>
        <rFont val="DejaVu Sans"/>
        <family val="2"/>
      </rPr>
      <t xml:space="preserve">概率上限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</si>
  <si>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计算</t>
    </r>
    <r>
      <rPr>
        <sz val="11"/>
        <color theme="1"/>
        <rFont val="Calibri"/>
        <family val="2"/>
        <charset val="1"/>
      </rPr>
      <t xml:space="preserve">/Dojo </t>
    </r>
    <r>
      <rPr>
        <sz val="11"/>
        <color theme="1"/>
        <rFont val="DejaVu Sans"/>
        <family val="2"/>
      </rPr>
      <t xml:space="preserve">商业化</t>
    </r>
  </si>
  <si>
    <r>
      <rPr>
        <sz val="11"/>
        <color theme="1"/>
        <rFont val="Calibri"/>
        <family val="2"/>
        <charset val="1"/>
      </rPr>
      <t xml:space="preserve">Cortex 2 </t>
    </r>
    <r>
      <rPr>
        <sz val="11"/>
        <color theme="1"/>
        <rFont val="DejaVu Sans"/>
        <family val="2"/>
      </rPr>
      <t xml:space="preserve">上线 </t>
    </r>
    <r>
      <rPr>
        <sz val="11"/>
        <color theme="1"/>
        <rFont val="Calibri"/>
        <family val="2"/>
        <charset val="1"/>
      </rPr>
      <t xml:space="preserve">130K H100e; AI5 </t>
    </r>
    <r>
      <rPr>
        <sz val="11"/>
        <color theme="1"/>
        <rFont val="DejaVu Sans"/>
        <family val="2"/>
      </rPr>
      <t xml:space="preserve">推理芯片 </t>
    </r>
    <r>
      <rPr>
        <sz val="11"/>
        <color theme="1"/>
        <rFont val="Calibri"/>
        <family val="2"/>
        <charset val="1"/>
      </rPr>
      <t xml:space="preserve">Q2 26 tape out; </t>
    </r>
    <r>
      <rPr>
        <sz val="11"/>
        <color theme="1"/>
        <rFont val="DejaVu Sans"/>
        <family val="2"/>
      </rPr>
      <t xml:space="preserve">与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DejaVu Sans"/>
        <family val="2"/>
      </rPr>
      <t xml:space="preserve">共建 </t>
    </r>
    <r>
      <rPr>
        <sz val="11"/>
        <color theme="1"/>
        <rFont val="Calibri"/>
        <family val="2"/>
        <charset val="1"/>
      </rPr>
      <t xml:space="preserve">Research Fab</t>
    </r>
  </si>
  <si>
    <r>
      <rPr>
        <sz val="11"/>
        <color theme="1"/>
        <rFont val="DejaVu Sans"/>
        <family val="2"/>
      </rPr>
      <t xml:space="preserve">内部用为主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若开放给外部 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类似 </t>
    </r>
    <r>
      <rPr>
        <sz val="11"/>
        <color theme="1"/>
        <rFont val="DejaVu Sans"/>
        <family val="2"/>
        <charset val="1"/>
      </rPr>
      <t xml:space="preserve">NVIDIA Cloud) </t>
    </r>
    <r>
      <rPr>
        <sz val="11"/>
        <color theme="1"/>
        <rFont val="DejaVu Sans"/>
        <family val="2"/>
      </rPr>
      <t xml:space="preserve">可能达 </t>
    </r>
    <r>
      <rPr>
        <sz val="11"/>
        <color theme="1"/>
        <rFont val="DejaVu Sans"/>
        <family val="2"/>
        <charset val="1"/>
      </rPr>
      <t xml:space="preserve">$30-40B/</t>
    </r>
    <r>
      <rPr>
        <sz val="11"/>
        <color theme="1"/>
        <rFont val="DejaVu Sans"/>
        <family val="2"/>
      </rPr>
      <t xml:space="preserve">年 营收 </t>
    </r>
    <r>
      <rPr>
        <sz val="11"/>
        <color theme="1"/>
        <rFont val="DejaVu Sans"/>
        <family val="2"/>
        <charset val="1"/>
      </rPr>
      <t xml:space="preserve">× 6x P/S</t>
    </r>
  </si>
  <si>
    <t xml:space="preserve">期权组合期望值合计</t>
  </si>
  <si>
    <t xml:space="preserve">二、保守调整与时间折现</t>
  </si>
  <si>
    <t xml:space="preserve">保守系数（避免乐观偏差）</t>
  </si>
  <si>
    <r>
      <rPr>
        <sz val="11"/>
        <color theme="1"/>
        <rFont val="DejaVu Sans"/>
        <family val="2"/>
      </rPr>
      <t xml:space="preserve">默认 </t>
    </r>
    <r>
      <rPr>
        <sz val="11"/>
        <color theme="1"/>
        <rFont val="DejaVu Sans"/>
        <family val="2"/>
        <charset val="1"/>
      </rPr>
      <t xml:space="preserve">70%; </t>
    </r>
    <r>
      <rPr>
        <sz val="11"/>
        <color theme="1"/>
        <rFont val="DejaVu Sans"/>
        <family val="2"/>
      </rPr>
      <t xml:space="preserve">历史上</t>
    </r>
    <r>
      <rPr>
        <sz val="11"/>
        <color theme="1"/>
        <rFont val="DejaVu Sans"/>
        <family val="2"/>
        <charset val="1"/>
      </rPr>
      <t xml:space="preserve">"</t>
    </r>
    <r>
      <rPr>
        <sz val="11"/>
        <color theme="1"/>
        <rFont val="DejaVu Sans"/>
        <family val="2"/>
      </rPr>
      <t xml:space="preserve">愿景型</t>
    </r>
    <r>
      <rPr>
        <sz val="11"/>
        <color theme="1"/>
        <rFont val="DejaVu Sans"/>
        <family val="2"/>
        <charset val="1"/>
      </rPr>
      <t xml:space="preserve">"</t>
    </r>
    <r>
      <rPr>
        <sz val="11"/>
        <color theme="1"/>
        <rFont val="DejaVu Sans"/>
        <family val="2"/>
      </rPr>
      <t xml:space="preserve">业务实际达成率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</si>
  <si>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年时间折现因子（</t>
    </r>
    <r>
      <rPr>
        <sz val="11"/>
        <color theme="1"/>
        <rFont val="Calibri"/>
        <family val="2"/>
        <charset val="1"/>
      </rPr>
      <t xml:space="preserve">@10%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</si>
  <si>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从 </t>
    </r>
    <r>
      <rPr>
        <sz val="11"/>
        <color theme="1"/>
        <rFont val="DejaVu Sans"/>
        <family val="2"/>
        <charset val="1"/>
      </rPr>
      <t xml:space="preserve">2031 </t>
    </r>
    <r>
      <rPr>
        <sz val="11"/>
        <color theme="1"/>
        <rFont val="DejaVu Sans"/>
        <family val="2"/>
      </rPr>
      <t xml:space="preserve">视角折回今天 </t>
    </r>
    <r>
      <rPr>
        <sz val="11"/>
        <color theme="1"/>
        <rFont val="DejaVu Sans"/>
        <family val="2"/>
        <charset val="1"/>
      </rPr>
      <t xml:space="preserve">= 0.621</t>
    </r>
  </si>
  <si>
    <t xml:space="preserve">调整后期望值</t>
  </si>
  <si>
    <r>
      <rPr>
        <b val="true"/>
        <sz val="12"/>
        <color rgb="FF2E7D32"/>
        <rFont val="DejaVu Sans"/>
        <family val="2"/>
      </rPr>
      <t xml:space="preserve">⭐ 计入 </t>
    </r>
    <r>
      <rPr>
        <b val="true"/>
        <sz val="12"/>
        <color rgb="FF2E7D32"/>
        <rFont val="DejaVu Sans"/>
        <family val="2"/>
        <charset val="1"/>
      </rPr>
      <t xml:space="preserve">SOTP </t>
    </r>
    <r>
      <rPr>
        <b val="true"/>
        <sz val="12"/>
        <color rgb="FF2E7D32"/>
        <rFont val="DejaVu Sans"/>
        <family val="2"/>
      </rPr>
      <t xml:space="preserve">的期权价值</t>
    </r>
  </si>
  <si>
    <r>
      <rPr>
        <b val="true"/>
        <sz val="12"/>
        <rFont val="DejaVu Sans"/>
        <family val="2"/>
      </rPr>
      <t xml:space="preserve">三、为什么 </t>
    </r>
    <r>
      <rPr>
        <b val="true"/>
        <sz val="12"/>
        <rFont val="DejaVu Sans"/>
        <family val="2"/>
        <charset val="1"/>
      </rPr>
      <t xml:space="preserve">Tesla </t>
    </r>
    <r>
      <rPr>
        <b val="true"/>
        <sz val="12"/>
        <rFont val="DejaVu Sans"/>
        <family val="2"/>
      </rPr>
      <t xml:space="preserve">的期权估值这么大</t>
    </r>
  </si>
  <si>
    <t xml:space="preserve">【对比谷歌】</t>
  </si>
  <si>
    <r>
      <rPr>
        <sz val="11"/>
        <color theme="1"/>
        <rFont val="DejaVu Sans"/>
        <family val="2"/>
      </rPr>
      <t xml:space="preserve">谷歌：主营 </t>
    </r>
    <r>
      <rPr>
        <sz val="11"/>
        <color theme="1"/>
        <rFont val="DejaVu Sans"/>
        <family val="2"/>
        <charset val="1"/>
      </rPr>
      <t xml:space="preserve">~$3,800B + </t>
    </r>
    <r>
      <rPr>
        <sz val="11"/>
        <color theme="1"/>
        <rFont val="DejaVu Sans"/>
        <family val="2"/>
      </rPr>
      <t xml:space="preserve">期权 </t>
    </r>
    <r>
      <rPr>
        <sz val="11"/>
        <color theme="1"/>
        <rFont val="DejaVu Sans"/>
        <family val="2"/>
        <charset val="1"/>
      </rPr>
      <t xml:space="preserve">~$28B = </t>
    </r>
    <r>
      <rPr>
        <sz val="11"/>
        <color theme="1"/>
        <rFont val="DejaVu Sans"/>
        <family val="2"/>
      </rPr>
      <t xml:space="preserve">期权占 </t>
    </r>
    <r>
      <rPr>
        <sz val="11"/>
        <color theme="1"/>
        <rFont val="DejaVu Sans"/>
        <family val="2"/>
        <charset val="1"/>
      </rPr>
      <t xml:space="preserve">&lt; 1%</t>
    </r>
  </si>
  <si>
    <r>
      <rPr>
        <sz val="11"/>
        <color theme="1"/>
        <rFont val="Calibri"/>
        <family val="2"/>
        <charset val="1"/>
      </rPr>
      <t xml:space="preserve">Tesla</t>
    </r>
    <r>
      <rPr>
        <sz val="11"/>
        <color theme="1"/>
        <rFont val="DejaVu Sans"/>
        <family val="2"/>
      </rPr>
      <t xml:space="preserve">：主营 </t>
    </r>
    <r>
      <rPr>
        <sz val="11"/>
        <color theme="1"/>
        <rFont val="Calibri"/>
        <family val="2"/>
        <charset val="1"/>
      </rPr>
      <t xml:space="preserve">~$300B + </t>
    </r>
    <r>
      <rPr>
        <sz val="11"/>
        <color theme="1"/>
        <rFont val="DejaVu Sans"/>
        <family val="2"/>
      </rPr>
      <t xml:space="preserve">期权 </t>
    </r>
    <r>
      <rPr>
        <sz val="11"/>
        <color theme="1"/>
        <rFont val="Calibri"/>
        <family val="2"/>
        <charset val="1"/>
      </rPr>
      <t xml:space="preserve">~$300B = </t>
    </r>
    <r>
      <rPr>
        <sz val="11"/>
        <color theme="1"/>
        <rFont val="DejaVu Sans"/>
        <family val="2"/>
      </rPr>
      <t xml:space="preserve">期权占 </t>
    </r>
    <r>
      <rPr>
        <sz val="11"/>
        <color theme="1"/>
        <rFont val="Calibri"/>
        <family val="2"/>
        <charset val="1"/>
      </rPr>
      <t xml:space="preserve">~50%</t>
    </r>
  </si>
  <si>
    <t xml:space="preserve">【含义】</t>
  </si>
  <si>
    <r>
      <rPr>
        <sz val="11"/>
        <color theme="1"/>
        <rFont val="Calibri"/>
        <family val="2"/>
        <charset val="1"/>
      </rPr>
      <t xml:space="preserve">· Tesla </t>
    </r>
    <r>
      <rPr>
        <sz val="11"/>
        <color theme="1"/>
        <rFont val="DejaVu Sans"/>
        <family val="2"/>
      </rPr>
      <t xml:space="preserve">当前估值 </t>
    </r>
    <r>
      <rPr>
        <sz val="11"/>
        <color theme="1"/>
        <rFont val="Calibri"/>
        <family val="2"/>
        <charset val="1"/>
      </rPr>
      <t xml:space="preserve">60-70% </t>
    </r>
    <r>
      <rPr>
        <sz val="11"/>
        <color theme="1"/>
        <rFont val="DejaVu Sans"/>
        <family val="2"/>
      </rPr>
      <t xml:space="preserve">来自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DejaVu Sans"/>
        <family val="2"/>
      </rPr>
      <t xml:space="preserve">还没赚到钱的业务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</si>
  <si>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这意味着任何期权失败（特别是 </t>
    </r>
    <r>
      <rPr>
        <sz val="11"/>
        <color theme="1"/>
        <rFont val="Calibri"/>
        <family val="2"/>
        <charset val="1"/>
      </rPr>
      <t xml:space="preserve">Optimus </t>
    </r>
    <r>
      <rPr>
        <sz val="11"/>
        <color theme="1"/>
        <rFont val="DejaVu Sans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Robotaxi</t>
    </r>
    <r>
      <rPr>
        <sz val="11"/>
        <color theme="1"/>
        <rFont val="DejaVu Sans"/>
        <family val="2"/>
      </rPr>
      <t xml:space="preserve">）都会让估值大跌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</si>
  <si>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也意味着任何期权超预期实现（如 </t>
    </r>
    <r>
      <rPr>
        <sz val="11"/>
        <color theme="1"/>
        <rFont val="Calibri"/>
        <family val="2"/>
        <charset val="1"/>
      </rPr>
      <t xml:space="preserve">FSD </t>
    </r>
    <r>
      <rPr>
        <sz val="11"/>
        <color theme="1"/>
        <rFont val="DejaVu Sans"/>
        <family val="2"/>
      </rPr>
      <t xml:space="preserve">完全自动化）都会大幅推升估值</t>
    </r>
  </si>
  <si>
    <r>
      <rPr>
        <sz val="11"/>
        <color theme="1"/>
        <rFont val="Calibri"/>
        <family val="2"/>
        <charset val="1"/>
      </rPr>
      <t xml:space="preserve">· Tesla </t>
    </r>
    <r>
      <rPr>
        <sz val="11"/>
        <color theme="1"/>
        <rFont val="DejaVu Sans"/>
        <family val="2"/>
      </rPr>
      <t xml:space="preserve">是一个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DejaVu Sans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beta"</t>
    </r>
    <r>
      <rPr>
        <sz val="11"/>
        <color theme="1"/>
        <rFont val="DejaVu Sans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AI/</t>
    </r>
    <r>
      <rPr>
        <sz val="11"/>
        <color theme="1"/>
        <rFont val="DejaVu Sans"/>
        <family val="2"/>
      </rPr>
      <t xml:space="preserve">机器人押注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不应该按传统汽车股估值</t>
    </r>
  </si>
  <si>
    <t xml:space="preserve">【监控信号】</t>
  </si>
  <si>
    <r>
      <rPr>
        <sz val="11"/>
        <color theme="1"/>
        <rFont val="DejaVu Sans"/>
        <family val="2"/>
      </rPr>
      <t xml:space="preserve">每季度 </t>
    </r>
    <r>
      <rPr>
        <sz val="11"/>
        <color theme="1"/>
        <rFont val="DejaVu Sans"/>
        <family val="2"/>
        <charset val="1"/>
      </rPr>
      <t xml:space="preserve">(Sheet 7) </t>
    </r>
    <r>
      <rPr>
        <sz val="11"/>
        <color theme="1"/>
        <rFont val="DejaVu Sans"/>
        <family val="2"/>
      </rPr>
      <t xml:space="preserve">检查期权业务进展</t>
    </r>
  </si>
  <si>
    <r>
      <rPr>
        <sz val="11"/>
        <color theme="1"/>
        <rFont val="Calibri"/>
        <family val="2"/>
        <charset val="1"/>
      </rPr>
      <t xml:space="preserve">· Robotaxi: </t>
    </r>
    <r>
      <rPr>
        <sz val="11"/>
        <color theme="1"/>
        <rFont val="DejaVu Sans"/>
        <family val="2"/>
      </rPr>
      <t xml:space="preserve">月付费英里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DejaVu Sans"/>
        <family val="2"/>
      </rPr>
      <t xml:space="preserve">城市扩张数量</t>
    </r>
  </si>
  <si>
    <r>
      <rPr>
        <sz val="11"/>
        <color theme="1"/>
        <rFont val="Calibri"/>
        <family val="2"/>
        <charset val="1"/>
      </rPr>
      <t xml:space="preserve">· Cybercab: </t>
    </r>
    <r>
      <rPr>
        <sz val="11"/>
        <color theme="1"/>
        <rFont val="DejaVu Sans"/>
        <family val="2"/>
      </rPr>
      <t xml:space="preserve">月生产数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DejaVu Sans"/>
        <family val="2"/>
      </rPr>
      <t xml:space="preserve">客户预订</t>
    </r>
  </si>
  <si>
    <r>
      <rPr>
        <sz val="11"/>
        <color theme="1"/>
        <rFont val="Calibri"/>
        <family val="2"/>
        <charset val="1"/>
      </rPr>
      <t xml:space="preserve">· Optimus: </t>
    </r>
    <r>
      <rPr>
        <sz val="11"/>
        <color theme="1"/>
        <rFont val="DejaVu Sans"/>
        <family val="2"/>
      </rPr>
      <t xml:space="preserve">工厂里程碑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DejaVu Sans"/>
        <family val="2"/>
      </rPr>
      <t xml:space="preserve">首批客户</t>
    </r>
  </si>
  <si>
    <r>
      <rPr>
        <sz val="11"/>
        <color theme="1"/>
        <rFont val="Calibri"/>
        <family val="2"/>
        <charset val="1"/>
      </rPr>
      <t xml:space="preserve">· FSD: </t>
    </r>
    <r>
      <rPr>
        <sz val="11"/>
        <color theme="1"/>
        <rFont val="DejaVu Sans"/>
        <family val="2"/>
      </rPr>
      <t xml:space="preserve">订阅数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监管批准国数</t>
    </r>
  </si>
  <si>
    <r>
      <rPr>
        <sz val="11"/>
        <color theme="1"/>
        <rFont val="DejaVu Sans"/>
        <family val="2"/>
      </rPr>
      <t xml:space="preserve">若超预期 → 概率上调</t>
    </r>
    <r>
      <rPr>
        <sz val="11"/>
        <color theme="1"/>
        <rFont val="DejaVu Sans"/>
        <family val="2"/>
        <charset val="1"/>
      </rPr>
      <t xml:space="preserve">; </t>
    </r>
    <r>
      <rPr>
        <sz val="11"/>
        <color theme="1"/>
        <rFont val="DejaVu Sans"/>
        <family val="2"/>
      </rPr>
      <t xml:space="preserve">若推迟 → 概率下调</t>
    </r>
  </si>
  <si>
    <r>
      <rPr>
        <b val="true"/>
        <sz val="14"/>
        <color rgb="FF2E7D32"/>
        <rFont val="Cambria"/>
        <family val="0"/>
        <charset val="1"/>
      </rPr>
      <t xml:space="preserve">Tesla AI/Robotics KPI </t>
    </r>
    <r>
      <rPr>
        <b val="true"/>
        <sz val="14"/>
        <color rgb="FF2E7D32"/>
        <rFont val="DejaVu Sans"/>
        <family val="2"/>
      </rPr>
      <t xml:space="preserve">季度跟踪表</t>
    </r>
  </si>
  <si>
    <r>
      <rPr>
        <i val="true"/>
        <sz val="11"/>
        <color rgb="FF808080"/>
        <rFont val="DejaVu Sans"/>
        <family val="2"/>
      </rPr>
      <t xml:space="preserve">用于反向校准 </t>
    </r>
    <r>
      <rPr>
        <i val="true"/>
        <sz val="11"/>
        <color rgb="FF808080"/>
        <rFont val="DejaVu Sans"/>
        <family val="2"/>
        <charset val="1"/>
      </rPr>
      <t xml:space="preserve">Sheet 6 </t>
    </r>
    <r>
      <rPr>
        <i val="true"/>
        <sz val="11"/>
        <color rgb="FF808080"/>
        <rFont val="DejaVu Sans"/>
        <family val="2"/>
      </rPr>
      <t xml:space="preserve">期权概率</t>
    </r>
  </si>
  <si>
    <r>
      <rPr>
        <b val="true"/>
        <sz val="12"/>
        <color rgb="FF1F4E79"/>
        <rFont val="DejaVu Sans"/>
        <family val="2"/>
      </rPr>
      <t xml:space="preserve">一、</t>
    </r>
    <r>
      <rPr>
        <b val="true"/>
        <sz val="12"/>
        <color rgb="FF1F4E79"/>
        <rFont val="DejaVu Sans"/>
        <family val="2"/>
        <charset val="1"/>
      </rPr>
      <t xml:space="preserve">FSD (Supervised) KPI</t>
    </r>
  </si>
  <si>
    <t xml:space="preserve">KPI</t>
  </si>
  <si>
    <t xml:space="preserve">Q2 2026</t>
  </si>
  <si>
    <t xml:space="preserve">Q3 2026</t>
  </si>
  <si>
    <t xml:space="preserve">Q4 2026</t>
  </si>
  <si>
    <t xml:space="preserve">警戒阈值</t>
  </si>
  <si>
    <r>
      <rPr>
        <sz val="11"/>
        <color theme="1"/>
        <rFont val="DejaVu Sans"/>
        <family val="2"/>
      </rPr>
      <t xml:space="preserve">活跃订阅数 </t>
    </r>
    <r>
      <rPr>
        <sz val="11"/>
        <color theme="1"/>
        <rFont val="DejaVu Sans"/>
        <family val="2"/>
        <charset val="1"/>
      </rPr>
      <t xml:space="preserve">(M)</t>
    </r>
  </si>
  <si>
    <t xml:space="preserve">1.28</t>
  </si>
  <si>
    <r>
      <rPr>
        <sz val="11"/>
        <color theme="1"/>
        <rFont val="Calibri"/>
        <family val="2"/>
        <charset val="1"/>
      </rPr>
      <t xml:space="preserve">&lt; 1.30 </t>
    </r>
    <r>
      <rPr>
        <sz val="11"/>
        <color theme="1"/>
        <rFont val="DejaVu Sans"/>
        <family val="2"/>
      </rPr>
      <t xml:space="preserve">警戒</t>
    </r>
  </si>
  <si>
    <r>
      <rPr>
        <sz val="11"/>
        <color theme="1"/>
        <rFont val="Calibri"/>
        <family val="2"/>
        <charset val="1"/>
      </rPr>
      <t xml:space="preserve">Q1 2026 +51% YoY; </t>
    </r>
    <r>
      <rPr>
        <sz val="11"/>
        <color theme="1"/>
        <rFont val="DejaVu Sans"/>
        <family val="2"/>
      </rPr>
      <t xml:space="preserve">关键变现指标</t>
    </r>
  </si>
  <si>
    <r>
      <rPr>
        <sz val="11"/>
        <color theme="1"/>
        <rFont val="DejaVu Sans"/>
        <family val="2"/>
      </rPr>
      <t xml:space="preserve">订阅 </t>
    </r>
    <r>
      <rPr>
        <sz val="11"/>
        <color theme="1"/>
        <rFont val="DejaVu Sans"/>
        <family val="2"/>
        <charset val="1"/>
      </rPr>
      <t xml:space="preserve">YoY </t>
    </r>
    <r>
      <rPr>
        <sz val="11"/>
        <color theme="1"/>
        <rFont val="DejaVu Sans"/>
        <family val="2"/>
      </rPr>
      <t xml:space="preserve">增速</t>
    </r>
  </si>
  <si>
    <t xml:space="preserve">+51%</t>
  </si>
  <si>
    <r>
      <rPr>
        <sz val="11"/>
        <color theme="1"/>
        <rFont val="Calibri"/>
        <family val="2"/>
        <charset val="1"/>
      </rPr>
      <t xml:space="preserve">&lt; 30% </t>
    </r>
    <r>
      <rPr>
        <sz val="11"/>
        <color theme="1"/>
        <rFont val="DejaVu Sans"/>
        <family val="2"/>
      </rPr>
      <t xml:space="preserve">警戒</t>
    </r>
  </si>
  <si>
    <r>
      <rPr>
        <sz val="11"/>
        <color theme="1"/>
        <rFont val="DejaVu Sans"/>
        <family val="2"/>
      </rPr>
      <t xml:space="preserve">订阅速度反映 </t>
    </r>
    <r>
      <rPr>
        <sz val="11"/>
        <color theme="1"/>
        <rFont val="DejaVu Sans"/>
        <family val="2"/>
        <charset val="1"/>
      </rPr>
      <t xml:space="preserve">FSD </t>
    </r>
    <r>
      <rPr>
        <sz val="11"/>
        <color theme="1"/>
        <rFont val="DejaVu Sans"/>
        <family val="2"/>
      </rPr>
      <t xml:space="preserve">价值认知</t>
    </r>
  </si>
  <si>
    <r>
      <rPr>
        <sz val="11"/>
        <color theme="1"/>
        <rFont val="Calibri"/>
        <family val="2"/>
        <charset val="1"/>
      </rPr>
      <t xml:space="preserve">FSD </t>
    </r>
    <r>
      <rPr>
        <sz val="11"/>
        <color theme="1"/>
        <rFont val="DejaVu Sans"/>
        <family val="2"/>
      </rPr>
      <t xml:space="preserve">软件版本</t>
    </r>
  </si>
  <si>
    <t xml:space="preserve">v14.3</t>
  </si>
  <si>
    <t xml:space="preserve">迭代速度放缓警戒</t>
  </si>
  <si>
    <r>
      <rPr>
        <sz val="11"/>
        <color theme="1"/>
        <rFont val="Calibri"/>
        <family val="2"/>
        <charset val="1"/>
      </rPr>
      <t xml:space="preserve">v14.3 (2026/04); </t>
    </r>
    <r>
      <rPr>
        <sz val="11"/>
        <color theme="1"/>
        <rFont val="DejaVu Sans"/>
        <family val="2"/>
      </rPr>
      <t xml:space="preserve">期待 </t>
    </r>
    <r>
      <rPr>
        <sz val="11"/>
        <color theme="1"/>
        <rFont val="Calibri"/>
        <family val="2"/>
        <charset val="1"/>
      </rPr>
      <t xml:space="preserve">v15</t>
    </r>
  </si>
  <si>
    <t xml:space="preserve">新国家批准</t>
  </si>
  <si>
    <t xml:space="preserve">荷兰</t>
  </si>
  <si>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DejaVu Sans"/>
        <family val="2"/>
      </rPr>
      <t xml:space="preserve">国家警戒</t>
    </r>
  </si>
  <si>
    <r>
      <rPr>
        <sz val="11"/>
        <color theme="1"/>
        <rFont val="Calibri"/>
        <family val="2"/>
        <charset val="1"/>
      </rPr>
      <t xml:space="preserve">2026/04 </t>
    </r>
    <r>
      <rPr>
        <sz val="11"/>
        <color theme="1"/>
        <rFont val="DejaVu Sans"/>
        <family val="2"/>
      </rPr>
      <t xml:space="preserve">荷兰批准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DejaVu Sans"/>
        <family val="2"/>
      </rPr>
      <t xml:space="preserve">期待中国</t>
    </r>
    <r>
      <rPr>
        <sz val="11"/>
        <color theme="1"/>
        <rFont val="Calibri"/>
        <family val="2"/>
        <charset val="1"/>
      </rPr>
      <t xml:space="preserve">/EU</t>
    </r>
  </si>
  <si>
    <r>
      <rPr>
        <sz val="11"/>
        <color theme="1"/>
        <rFont val="DejaVu Sans"/>
        <family val="2"/>
      </rPr>
      <t xml:space="preserve">累计 </t>
    </r>
    <r>
      <rPr>
        <sz val="11"/>
        <color theme="1"/>
        <rFont val="DejaVu Sans"/>
        <family val="2"/>
        <charset val="1"/>
      </rPr>
      <t xml:space="preserve">FSD </t>
    </r>
    <r>
      <rPr>
        <sz val="11"/>
        <color theme="1"/>
        <rFont val="DejaVu Sans"/>
        <family val="2"/>
      </rPr>
      <t xml:space="preserve">英里 </t>
    </r>
    <r>
      <rPr>
        <sz val="11"/>
        <color theme="1"/>
        <rFont val="DejaVu Sans"/>
        <family val="2"/>
        <charset val="1"/>
      </rPr>
      <t xml:space="preserve">(B)</t>
    </r>
  </si>
  <si>
    <t xml:space="preserve">~10</t>
  </si>
  <si>
    <t xml:space="preserve">增速放缓警戒</t>
  </si>
  <si>
    <r>
      <rPr>
        <sz val="11"/>
        <color theme="1"/>
        <rFont val="DejaVu Sans"/>
        <family val="2"/>
      </rPr>
      <t xml:space="preserve">决定 </t>
    </r>
    <r>
      <rPr>
        <sz val="11"/>
        <color theme="1"/>
        <rFont val="DejaVu Sans"/>
        <family val="2"/>
        <charset val="1"/>
      </rPr>
      <t xml:space="preserve">RL </t>
    </r>
    <r>
      <rPr>
        <sz val="11"/>
        <color theme="1"/>
        <rFont val="DejaVu Sans"/>
        <family val="2"/>
      </rPr>
      <t xml:space="preserve">训练质量</t>
    </r>
  </si>
  <si>
    <r>
      <rPr>
        <sz val="11"/>
        <color theme="1"/>
        <rFont val="DejaVu Sans"/>
        <family val="2"/>
      </rPr>
      <t xml:space="preserve">每英里 </t>
    </r>
    <r>
      <rPr>
        <sz val="11"/>
        <color theme="1"/>
        <rFont val="DejaVu Sans"/>
        <family val="2"/>
        <charset val="1"/>
      </rPr>
      <t xml:space="preserve">disengagement</t>
    </r>
  </si>
  <si>
    <t xml:space="preserve">n/d</t>
  </si>
  <si>
    <r>
      <rPr>
        <sz val="11"/>
        <color theme="1"/>
        <rFont val="Calibri"/>
        <family val="2"/>
        <charset val="1"/>
      </rPr>
      <t xml:space="preserve">disengagement </t>
    </r>
    <r>
      <rPr>
        <sz val="11"/>
        <color theme="1"/>
        <rFont val="DejaVu Sans"/>
        <family val="2"/>
      </rPr>
      <t xml:space="preserve">上升警戒</t>
    </r>
  </si>
  <si>
    <r>
      <rPr>
        <sz val="11"/>
        <color theme="1"/>
        <rFont val="DejaVu Sans"/>
        <family val="2"/>
      </rPr>
      <t xml:space="preserve">内部指标</t>
    </r>
    <r>
      <rPr>
        <sz val="11"/>
        <color theme="1"/>
        <rFont val="DejaVu Sans"/>
        <family val="2"/>
        <charset val="1"/>
      </rPr>
      <t xml:space="preserve">; </t>
    </r>
    <r>
      <rPr>
        <sz val="11"/>
        <color theme="1"/>
        <rFont val="DejaVu Sans"/>
        <family val="2"/>
      </rPr>
      <t xml:space="preserve">外推 </t>
    </r>
    <r>
      <rPr>
        <sz val="11"/>
        <color theme="1"/>
        <rFont val="DejaVu Sans"/>
        <family val="2"/>
        <charset val="1"/>
      </rPr>
      <t xml:space="preserve">unsupervised </t>
    </r>
    <r>
      <rPr>
        <sz val="11"/>
        <color theme="1"/>
        <rFont val="DejaVu Sans"/>
        <family val="2"/>
      </rPr>
      <t xml:space="preserve">时间</t>
    </r>
  </si>
  <si>
    <r>
      <rPr>
        <b val="true"/>
        <sz val="12"/>
        <color rgb="FF1F4E79"/>
        <rFont val="DejaVu Sans"/>
        <family val="2"/>
      </rPr>
      <t xml:space="preserve">二、</t>
    </r>
    <r>
      <rPr>
        <b val="true"/>
        <sz val="12"/>
        <color rgb="FF1F4E79"/>
        <rFont val="DejaVu Sans"/>
        <family val="2"/>
        <charset val="1"/>
      </rPr>
      <t xml:space="preserve">Robotaxi </t>
    </r>
    <r>
      <rPr>
        <b val="true"/>
        <sz val="12"/>
        <color rgb="FF1F4E79"/>
        <rFont val="DejaVu Sans"/>
        <family val="2"/>
      </rPr>
      <t xml:space="preserve">网络 </t>
    </r>
    <r>
      <rPr>
        <b val="true"/>
        <sz val="12"/>
        <color rgb="FF1F4E79"/>
        <rFont val="DejaVu Sans"/>
        <family val="2"/>
        <charset val="1"/>
      </rPr>
      <t xml:space="preserve">KPI</t>
    </r>
  </si>
  <si>
    <r>
      <rPr>
        <sz val="11"/>
        <color theme="1"/>
        <rFont val="DejaVu Sans"/>
        <family val="2"/>
      </rPr>
      <t xml:space="preserve">累计付费英里 </t>
    </r>
    <r>
      <rPr>
        <sz val="11"/>
        <color theme="1"/>
        <rFont val="DejaVu Sans"/>
        <family val="2"/>
        <charset val="1"/>
      </rPr>
      <t xml:space="preserve">(M)</t>
    </r>
  </si>
  <si>
    <t xml:space="preserve">~1.6</t>
  </si>
  <si>
    <r>
      <rPr>
        <sz val="11"/>
        <color theme="1"/>
        <rFont val="DejaVu Sans"/>
        <family val="2"/>
      </rPr>
      <t xml:space="preserve">环比 </t>
    </r>
    <r>
      <rPr>
        <sz val="11"/>
        <color theme="1"/>
        <rFont val="DejaVu Sans"/>
        <family val="2"/>
        <charset val="1"/>
      </rPr>
      <t xml:space="preserve">+30% </t>
    </r>
    <r>
      <rPr>
        <sz val="11"/>
        <color theme="1"/>
        <rFont val="DejaVu Sans"/>
        <family val="2"/>
      </rPr>
      <t xml:space="preserve">健康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</si>
  <si>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DejaVu Sans"/>
        <family val="2"/>
      </rPr>
      <t xml:space="preserve">近翻倍</t>
    </r>
    <r>
      <rPr>
        <sz val="11"/>
        <color theme="1"/>
        <rFont val="Calibri"/>
        <family val="2"/>
        <charset val="1"/>
      </rPr>
      <t xml:space="preserve">" QoQ; </t>
    </r>
    <r>
      <rPr>
        <sz val="11"/>
        <color theme="1"/>
        <rFont val="DejaVu Sans"/>
        <family val="2"/>
      </rPr>
      <t xml:space="preserve">启动期</t>
    </r>
  </si>
  <si>
    <r>
      <rPr>
        <sz val="11"/>
        <color theme="1"/>
        <rFont val="DejaVu Sans"/>
        <family val="2"/>
      </rPr>
      <t xml:space="preserve">运营城市数 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无人</t>
    </r>
    <r>
      <rPr>
        <sz val="11"/>
        <color theme="1"/>
        <rFont val="DejaVu Sans"/>
        <family val="2"/>
        <charset val="1"/>
      </rPr>
      <t xml:space="preserve">)</t>
    </r>
  </si>
  <si>
    <t xml:space="preserve">3 (Austin/Dallas/Houston)</t>
  </si>
  <si>
    <r>
      <rPr>
        <sz val="11"/>
        <color theme="1"/>
        <rFont val="Calibri"/>
        <family val="2"/>
        <charset val="1"/>
      </rPr>
      <t xml:space="preserve">&lt; 5 by EOY </t>
    </r>
    <r>
      <rPr>
        <sz val="11"/>
        <color theme="1"/>
        <rFont val="DejaVu Sans"/>
        <family val="2"/>
      </rPr>
      <t xml:space="preserve">警戒</t>
    </r>
  </si>
  <si>
    <r>
      <rPr>
        <sz val="11"/>
        <color theme="1"/>
        <rFont val="DejaVu Sans"/>
        <family val="2"/>
      </rPr>
      <t xml:space="preserve">已宣布 </t>
    </r>
    <r>
      <rPr>
        <sz val="11"/>
        <color theme="1"/>
        <rFont val="DejaVu Sans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个准备中</t>
    </r>
  </si>
  <si>
    <r>
      <rPr>
        <sz val="11"/>
        <color theme="1"/>
        <rFont val="DejaVu Sans"/>
        <family val="2"/>
      </rPr>
      <t xml:space="preserve">运营城市数 </t>
    </r>
    <r>
      <rPr>
        <sz val="11"/>
        <color theme="1"/>
        <rFont val="DejaVu Sans"/>
        <family val="2"/>
        <charset val="1"/>
      </rPr>
      <t xml:space="preserve">(Safety Driver)</t>
    </r>
  </si>
  <si>
    <t xml:space="preserve">1 (SF Bay Area)</t>
  </si>
  <si>
    <r>
      <rPr>
        <sz val="11"/>
        <color theme="1"/>
        <rFont val="DejaVu Sans"/>
        <family val="2"/>
      </rPr>
      <t xml:space="preserve">不要回退到 </t>
    </r>
    <r>
      <rPr>
        <sz val="11"/>
        <color theme="1"/>
        <rFont val="DejaVu Sans"/>
        <family val="2"/>
        <charset val="1"/>
      </rPr>
      <t xml:space="preserve">SD</t>
    </r>
  </si>
  <si>
    <r>
      <rPr>
        <sz val="11"/>
        <color theme="1"/>
        <rFont val="Calibri"/>
        <family val="2"/>
        <charset val="1"/>
      </rPr>
      <t xml:space="preserve">CA </t>
    </r>
    <r>
      <rPr>
        <sz val="11"/>
        <color theme="1"/>
        <rFont val="DejaVu Sans"/>
        <family val="2"/>
      </rPr>
      <t xml:space="preserve">监管限制</t>
    </r>
  </si>
  <si>
    <t xml:space="preserve">车队规模</t>
  </si>
  <si>
    <r>
      <rPr>
        <sz val="11"/>
        <color theme="1"/>
        <rFont val="Calibri"/>
        <family val="2"/>
        <charset val="1"/>
      </rPr>
      <t xml:space="preserve">&lt; 200 by Q4 </t>
    </r>
    <r>
      <rPr>
        <sz val="11"/>
        <color theme="1"/>
        <rFont val="DejaVu Sans"/>
        <family val="2"/>
      </rPr>
      <t xml:space="preserve">警戒</t>
    </r>
  </si>
  <si>
    <r>
      <rPr>
        <sz val="11"/>
        <color theme="1"/>
        <rFont val="DejaVu Sans"/>
        <family val="2"/>
      </rPr>
      <t xml:space="preserve">当前 </t>
    </r>
    <r>
      <rPr>
        <sz val="11"/>
        <color theme="1"/>
        <rFont val="DejaVu Sans"/>
        <family val="2"/>
        <charset val="1"/>
      </rPr>
      <t xml:space="preserve">Model Y </t>
    </r>
    <r>
      <rPr>
        <sz val="11"/>
        <color theme="1"/>
        <rFont val="DejaVu Sans"/>
        <family val="2"/>
      </rPr>
      <t xml:space="preserve">改装</t>
    </r>
    <r>
      <rPr>
        <sz val="11"/>
        <color theme="1"/>
        <rFont val="DejaVu Sans"/>
        <family val="2"/>
        <charset val="1"/>
      </rPr>
      <t xml:space="preserve">; </t>
    </r>
    <r>
      <rPr>
        <sz val="11"/>
        <color theme="1"/>
        <rFont val="DejaVu Sans"/>
        <family val="2"/>
      </rPr>
      <t xml:space="preserve">等 </t>
    </r>
    <r>
      <rPr>
        <sz val="11"/>
        <color theme="1"/>
        <rFont val="DejaVu Sans"/>
        <family val="2"/>
        <charset val="1"/>
      </rPr>
      <t xml:space="preserve">Cybercab </t>
    </r>
    <r>
      <rPr>
        <sz val="11"/>
        <color theme="1"/>
        <rFont val="DejaVu Sans"/>
        <family val="2"/>
      </rPr>
      <t xml:space="preserve">量产</t>
    </r>
  </si>
  <si>
    <t xml:space="preserve">单车日均订单</t>
  </si>
  <si>
    <r>
      <rPr>
        <sz val="11"/>
        <color theme="1"/>
        <rFont val="DejaVu Sans"/>
        <family val="2"/>
      </rPr>
      <t xml:space="preserve">类比 </t>
    </r>
    <r>
      <rPr>
        <sz val="11"/>
        <color theme="1"/>
        <rFont val="DejaVu Sans"/>
        <family val="2"/>
        <charset val="1"/>
      </rPr>
      <t xml:space="preserve">UBER 5-8</t>
    </r>
  </si>
  <si>
    <t xml:space="preserve">盈利性关键指标</t>
  </si>
  <si>
    <r>
      <rPr>
        <sz val="11"/>
        <color theme="1"/>
        <rFont val="DejaVu Sans"/>
        <family val="2"/>
      </rPr>
      <t xml:space="preserve">收入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英里 </t>
    </r>
    <r>
      <rPr>
        <sz val="11"/>
        <color theme="1"/>
        <rFont val="DejaVu Sans"/>
        <family val="2"/>
        <charset val="1"/>
      </rPr>
      <t xml:space="preserve">($)</t>
    </r>
  </si>
  <si>
    <r>
      <rPr>
        <sz val="11"/>
        <color theme="1"/>
        <rFont val="Calibri"/>
        <family val="2"/>
        <charset val="1"/>
      </rPr>
      <t xml:space="preserve">&lt; $0.8 </t>
    </r>
    <r>
      <rPr>
        <sz val="11"/>
        <color theme="1"/>
        <rFont val="DejaVu Sans"/>
        <family val="2"/>
      </rPr>
      <t xml:space="preserve">警戒</t>
    </r>
  </si>
  <si>
    <r>
      <rPr>
        <sz val="11"/>
        <color theme="1"/>
        <rFont val="Calibri"/>
        <family val="2"/>
        <charset val="1"/>
      </rPr>
      <t xml:space="preserve">UBER ~$1.2/</t>
    </r>
    <r>
      <rPr>
        <sz val="11"/>
        <color theme="1"/>
        <rFont val="DejaVu Sans"/>
        <family val="2"/>
      </rPr>
      <t xml:space="preserve">英里</t>
    </r>
  </si>
  <si>
    <r>
      <rPr>
        <b val="true"/>
        <sz val="12"/>
        <color rgb="FF1F4E79"/>
        <rFont val="DejaVu Sans"/>
        <family val="2"/>
      </rPr>
      <t xml:space="preserve">三、</t>
    </r>
    <r>
      <rPr>
        <b val="true"/>
        <sz val="12"/>
        <color rgb="FF1F4E79"/>
        <rFont val="DejaVu Sans"/>
        <family val="2"/>
        <charset val="1"/>
      </rPr>
      <t xml:space="preserve">Cybercab / Semi / Megapack 3 </t>
    </r>
    <r>
      <rPr>
        <b val="true"/>
        <sz val="12"/>
        <color rgb="FF1F4E79"/>
        <rFont val="DejaVu Sans"/>
        <family val="2"/>
      </rPr>
      <t xml:space="preserve">量产 </t>
    </r>
    <r>
      <rPr>
        <b val="true"/>
        <sz val="12"/>
        <color rgb="FF1F4E79"/>
        <rFont val="DejaVu Sans"/>
        <family val="2"/>
        <charset val="1"/>
      </rPr>
      <t xml:space="preserve">KPI</t>
    </r>
  </si>
  <si>
    <t xml:space="preserve">里程碑</t>
  </si>
  <si>
    <r>
      <rPr>
        <sz val="11"/>
        <color theme="1"/>
        <rFont val="Calibri"/>
        <family val="2"/>
        <charset val="1"/>
      </rPr>
      <t xml:space="preserve">Cybercab </t>
    </r>
    <r>
      <rPr>
        <sz val="11"/>
        <color theme="1"/>
        <rFont val="DejaVu Sans"/>
        <family val="2"/>
      </rPr>
      <t xml:space="preserve">月生产</t>
    </r>
  </si>
  <si>
    <t xml:space="preserve">Pilot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</si>
  <si>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DejaVu Sans"/>
        <family val="2"/>
      </rPr>
      <t xml:space="preserve">内量产</t>
    </r>
  </si>
  <si>
    <r>
      <rPr>
        <sz val="11"/>
        <color theme="1"/>
        <rFont val="Calibri"/>
        <family val="2"/>
        <charset val="1"/>
      </rPr>
      <t xml:space="preserve">Tesla Semi </t>
    </r>
    <r>
      <rPr>
        <sz val="11"/>
        <color theme="1"/>
        <rFont val="DejaVu Sans"/>
        <family val="2"/>
      </rPr>
      <t xml:space="preserve">月生产</t>
    </r>
  </si>
  <si>
    <r>
      <rPr>
        <sz val="11"/>
        <color theme="1"/>
        <rFont val="Calibri"/>
        <family val="2"/>
        <charset val="1"/>
      </rPr>
      <t xml:space="preserve">Megapack 3 </t>
    </r>
    <r>
      <rPr>
        <sz val="11"/>
        <color theme="1"/>
        <rFont val="DejaVu Sans"/>
        <family val="2"/>
      </rPr>
      <t xml:space="preserve">量产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</si>
  <si>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DejaVu Sans"/>
        <family val="2"/>
      </rPr>
      <t xml:space="preserve">末</t>
    </r>
  </si>
  <si>
    <r>
      <rPr>
        <sz val="11"/>
        <color theme="1"/>
        <rFont val="DejaVu Sans"/>
        <family val="2"/>
      </rPr>
      <t xml:space="preserve">储能部署 </t>
    </r>
    <r>
      <rPr>
        <sz val="11"/>
        <color theme="1"/>
        <rFont val="DejaVu Sans"/>
        <family val="2"/>
        <charset val="1"/>
      </rPr>
      <t xml:space="preserve">(GWh/</t>
    </r>
    <r>
      <rPr>
        <sz val="11"/>
        <color theme="1"/>
        <rFont val="DejaVu Sans"/>
        <family val="2"/>
      </rPr>
      <t xml:space="preserve">季</t>
    </r>
    <r>
      <rPr>
        <sz val="11"/>
        <color theme="1"/>
        <rFont val="DejaVu Sans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</si>
  <si>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DejaVu Sans"/>
        <family val="2"/>
      </rPr>
      <t xml:space="preserve">回升至 </t>
    </r>
    <r>
      <rPr>
        <sz val="11"/>
        <color theme="1"/>
        <rFont val="Calibri"/>
        <family val="2"/>
        <charset val="1"/>
      </rPr>
      <t xml:space="preserve">12+ </t>
    </r>
    <r>
      <rPr>
        <sz val="11"/>
        <color theme="1"/>
        <rFont val="DejaVu Sans"/>
        <family val="2"/>
      </rPr>
      <t xml:space="preserve">是健康</t>
    </r>
  </si>
  <si>
    <t xml:space="preserve">Megapack capacity (GWh)</t>
  </si>
  <si>
    <r>
      <rPr>
        <sz val="11"/>
        <color theme="1"/>
        <rFont val="Calibri"/>
        <family val="2"/>
        <charset val="1"/>
      </rPr>
      <t xml:space="preserve">Houston </t>
    </r>
    <r>
      <rPr>
        <sz val="11"/>
        <color theme="1"/>
        <rFont val="DejaVu Sans"/>
        <family val="2"/>
      </rPr>
      <t xml:space="preserve">工厂上线后翻倍</t>
    </r>
  </si>
  <si>
    <r>
      <rPr>
        <b val="true"/>
        <sz val="12"/>
        <color rgb="FF1F4E79"/>
        <rFont val="DejaVu Sans"/>
        <family val="2"/>
      </rPr>
      <t xml:space="preserve">四、</t>
    </r>
    <r>
      <rPr>
        <b val="true"/>
        <sz val="12"/>
        <color rgb="FF1F4E79"/>
        <rFont val="DejaVu Sans"/>
        <family val="2"/>
        <charset val="1"/>
      </rPr>
      <t xml:space="preserve">Optimus </t>
    </r>
    <r>
      <rPr>
        <b val="true"/>
        <sz val="12"/>
        <color rgb="FF1F4E79"/>
        <rFont val="DejaVu Sans"/>
        <family val="2"/>
      </rPr>
      <t xml:space="preserve">机器人 </t>
    </r>
    <r>
      <rPr>
        <b val="true"/>
        <sz val="12"/>
        <color rgb="FF1F4E79"/>
        <rFont val="DejaVu Sans"/>
        <family val="2"/>
        <charset val="1"/>
      </rPr>
      <t xml:space="preserve">KPI</t>
    </r>
  </si>
  <si>
    <r>
      <rPr>
        <b val="true"/>
        <sz val="11"/>
        <rFont val="DejaVu Sans"/>
        <family val="2"/>
      </rPr>
      <t xml:space="preserve">当前 </t>
    </r>
    <r>
      <rPr>
        <b val="true"/>
        <sz val="11"/>
        <rFont val="DejaVu Sans"/>
        <family val="2"/>
        <charset val="1"/>
      </rPr>
      <t xml:space="preserve">Q1 2026</t>
    </r>
  </si>
  <si>
    <t xml:space="preserve">影响</t>
  </si>
  <si>
    <r>
      <rPr>
        <sz val="11"/>
        <color theme="1"/>
        <rFont val="DejaVu Sans"/>
        <family val="2"/>
      </rPr>
      <t xml:space="preserve">第 </t>
    </r>
    <r>
      <rPr>
        <sz val="11"/>
        <color theme="1"/>
        <rFont val="DejaVu Sans"/>
        <family val="2"/>
        <charset val="1"/>
      </rPr>
      <t xml:space="preserve">1 </t>
    </r>
    <r>
      <rPr>
        <sz val="11"/>
        <color theme="1"/>
        <rFont val="DejaVu Sans"/>
        <family val="2"/>
      </rPr>
      <t xml:space="preserve">代工厂</t>
    </r>
  </si>
  <si>
    <r>
      <rPr>
        <sz val="11"/>
        <color theme="1"/>
        <rFont val="Calibri"/>
        <family val="2"/>
        <charset val="1"/>
      </rPr>
      <t xml:space="preserve">Fremont </t>
    </r>
    <r>
      <rPr>
        <sz val="11"/>
        <color theme="1"/>
        <rFont val="DejaVu Sans"/>
        <family val="2"/>
      </rPr>
      <t xml:space="preserve">准备中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替换 </t>
    </r>
    <r>
      <rPr>
        <sz val="11"/>
        <color theme="1"/>
        <rFont val="Calibri"/>
        <family val="2"/>
        <charset val="1"/>
      </rPr>
      <t xml:space="preserve">S/X </t>
    </r>
    <r>
      <rPr>
        <sz val="11"/>
        <color theme="1"/>
        <rFont val="DejaVu Sans"/>
        <family val="2"/>
      </rPr>
      <t xml:space="preserve">线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</si>
  <si>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DejaVu Sans"/>
        <family val="2"/>
      </rPr>
      <t xml:space="preserve">准备开始</t>
    </r>
  </si>
  <si>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DejaVu Sans"/>
        <family val="2"/>
      </rPr>
      <t xml:space="preserve">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年产能上线后估值</t>
    </r>
    <r>
      <rPr>
        <sz val="11"/>
        <color theme="1"/>
        <rFont val="Calibri"/>
        <family val="2"/>
        <charset val="1"/>
      </rPr>
      <t xml:space="preserve">+</t>
    </r>
  </si>
  <si>
    <r>
      <rPr>
        <sz val="11"/>
        <color theme="1"/>
        <rFont val="DejaVu Sans"/>
        <family val="2"/>
      </rPr>
      <t xml:space="preserve">第 </t>
    </r>
    <r>
      <rPr>
        <sz val="11"/>
        <color theme="1"/>
        <rFont val="DejaVu Sans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代工厂</t>
    </r>
  </si>
  <si>
    <r>
      <rPr>
        <sz val="11"/>
        <color theme="1"/>
        <rFont val="Calibri"/>
        <family val="2"/>
        <charset val="1"/>
      </rPr>
      <t xml:space="preserve">Texas </t>
    </r>
    <r>
      <rPr>
        <sz val="11"/>
        <color theme="1"/>
        <rFont val="DejaVu Sans"/>
        <family val="2"/>
      </rPr>
      <t xml:space="preserve">设计中</t>
    </r>
  </si>
  <si>
    <t xml:space="preserve">2027+</t>
  </si>
  <si>
    <r>
      <rPr>
        <sz val="11"/>
        <color theme="1"/>
        <rFont val="Calibri"/>
        <family val="2"/>
        <charset val="1"/>
      </rPr>
      <t xml:space="preserve">1000 </t>
    </r>
    <r>
      <rPr>
        <sz val="11"/>
        <color theme="1"/>
        <rFont val="DejaVu Sans"/>
        <family val="2"/>
      </rPr>
      <t xml:space="preserve">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年产能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颠覆性</t>
    </r>
  </si>
  <si>
    <t xml:space="preserve">首批商业客户</t>
  </si>
  <si>
    <t xml:space="preserve">无</t>
  </si>
  <si>
    <r>
      <rPr>
        <sz val="11"/>
        <color theme="1"/>
        <rFont val="Calibri"/>
        <family val="2"/>
        <charset val="1"/>
      </rPr>
      <t xml:space="preserve">2026-2027 </t>
    </r>
    <r>
      <rPr>
        <sz val="11"/>
        <color theme="1"/>
        <rFont val="DejaVu Sans"/>
        <family val="2"/>
      </rPr>
      <t xml:space="preserve">首批</t>
    </r>
  </si>
  <si>
    <t xml:space="preserve">建立商业模式可信度</t>
  </si>
  <si>
    <t xml:space="preserve">单台成本</t>
  </si>
  <si>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DejaVu Sans"/>
        <family val="2"/>
      </rPr>
      <t xml:space="preserve">目标 </t>
    </r>
    <r>
      <rPr>
        <sz val="11"/>
        <color theme="1"/>
        <rFont val="Calibri"/>
        <family val="2"/>
        <charset val="1"/>
      </rPr>
      <t xml:space="preserve">$20K</t>
    </r>
  </si>
  <si>
    <t xml:space="preserve">决定能否触达消费市场</t>
  </si>
  <si>
    <t xml:space="preserve">能力演示</t>
  </si>
  <si>
    <r>
      <rPr>
        <sz val="11"/>
        <color theme="1"/>
        <rFont val="Calibri"/>
        <family val="2"/>
        <charset val="1"/>
      </rPr>
      <t xml:space="preserve">Digital Optimus </t>
    </r>
    <r>
      <rPr>
        <sz val="11"/>
        <color theme="1"/>
        <rFont val="DejaVu Sans"/>
        <family val="2"/>
      </rPr>
      <t xml:space="preserve">开发中</t>
    </r>
  </si>
  <si>
    <r>
      <rPr>
        <sz val="11"/>
        <color theme="1"/>
        <rFont val="DejaVu Sans"/>
        <family val="2"/>
      </rPr>
      <t xml:space="preserve">实物 </t>
    </r>
    <r>
      <rPr>
        <sz val="11"/>
        <color theme="1"/>
        <rFont val="DejaVu Sans"/>
        <family val="2"/>
        <charset val="1"/>
      </rPr>
      <t xml:space="preserve">v3 </t>
    </r>
    <r>
      <rPr>
        <sz val="11"/>
        <color theme="1"/>
        <rFont val="DejaVu Sans"/>
        <family val="2"/>
      </rPr>
      <t xml:space="preserve">任务能力</t>
    </r>
  </si>
  <si>
    <t xml:space="preserve">决定市场接受度</t>
  </si>
  <si>
    <r>
      <rPr>
        <b val="true"/>
        <sz val="12"/>
        <color rgb="FF1F4E79"/>
        <rFont val="DejaVu Sans"/>
        <family val="2"/>
      </rPr>
      <t xml:space="preserve">五、</t>
    </r>
    <r>
      <rPr>
        <b val="true"/>
        <sz val="12"/>
        <color rgb="FF1F4E79"/>
        <rFont val="DejaVu Sans"/>
        <family val="2"/>
        <charset val="1"/>
      </rPr>
      <t xml:space="preserve">AI </t>
    </r>
    <r>
      <rPr>
        <b val="true"/>
        <sz val="12"/>
        <color rgb="FF1F4E79"/>
        <rFont val="DejaVu Sans"/>
        <family val="2"/>
      </rPr>
      <t xml:space="preserve">基础设施 </t>
    </r>
    <r>
      <rPr>
        <b val="true"/>
        <sz val="12"/>
        <color rgb="FF1F4E79"/>
        <rFont val="DejaVu Sans"/>
        <family val="2"/>
        <charset val="1"/>
      </rPr>
      <t xml:space="preserve">KPI</t>
    </r>
  </si>
  <si>
    <t xml:space="preserve">目标</t>
  </si>
  <si>
    <t xml:space="preserve">战略意义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</si>
  <si>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训练算力 </t>
    </r>
    <r>
      <rPr>
        <sz val="11"/>
        <color theme="1"/>
        <rFont val="Calibri"/>
        <family val="2"/>
        <charset val="1"/>
      </rPr>
      <t xml:space="preserve">(H100e)</t>
    </r>
  </si>
  <si>
    <t xml:space="preserve">100K (Cortex 1) + 130K (Cortex 2 ramp)</t>
  </si>
  <si>
    <t xml:space="preserve">300K+ by Q4 2026</t>
  </si>
  <si>
    <r>
      <rPr>
        <sz val="11"/>
        <color theme="1"/>
        <rFont val="Calibri"/>
        <family val="2"/>
        <charset val="1"/>
      </rPr>
      <t xml:space="preserve">FSD/Robotaxi/Optimus </t>
    </r>
    <r>
      <rPr>
        <sz val="11"/>
        <color theme="1"/>
        <rFont val="DejaVu Sans"/>
        <family val="2"/>
      </rPr>
      <t xml:space="preserve">训练基础</t>
    </r>
  </si>
  <si>
    <r>
      <rPr>
        <sz val="11"/>
        <color theme="1"/>
        <rFont val="Calibri"/>
        <family val="2"/>
        <charset val="1"/>
      </rPr>
      <t xml:space="preserve">AI5 </t>
    </r>
    <r>
      <rPr>
        <sz val="11"/>
        <color theme="1"/>
        <rFont val="DejaVu Sans"/>
        <family val="2"/>
      </rPr>
      <t xml:space="preserve">推理芯片</t>
    </r>
  </si>
  <si>
    <r>
      <rPr>
        <sz val="11"/>
        <color theme="1"/>
        <rFont val="Calibri"/>
        <family val="2"/>
        <charset val="1"/>
      </rPr>
      <t xml:space="preserve">Tape-out </t>
    </r>
    <r>
      <rPr>
        <sz val="11"/>
        <color theme="1"/>
        <rFont val="DejaVu Sans"/>
        <family val="2"/>
      </rPr>
      <t xml:space="preserve">完成 </t>
    </r>
    <r>
      <rPr>
        <sz val="11"/>
        <color theme="1"/>
        <rFont val="Calibri"/>
        <family val="2"/>
        <charset val="1"/>
      </rPr>
      <t xml:space="preserve">(2026/04)</t>
    </r>
  </si>
  <si>
    <r>
      <rPr>
        <sz val="11"/>
        <color theme="1"/>
        <rFont val="Calibri"/>
        <family val="2"/>
        <charset val="1"/>
      </rPr>
      <t xml:space="preserve">Q3-Q4 2026 </t>
    </r>
    <r>
      <rPr>
        <sz val="11"/>
        <color theme="1"/>
        <rFont val="DejaVu Sans"/>
        <family val="2"/>
      </rPr>
      <t xml:space="preserve">量产</t>
    </r>
  </si>
  <si>
    <t xml:space="preserve">车端推理成本下降</t>
  </si>
  <si>
    <t xml:space="preserve">Dojo 3</t>
  </si>
  <si>
    <t xml:space="preserve">研发中</t>
  </si>
  <si>
    <t xml:space="preserve">不明</t>
  </si>
  <si>
    <t xml:space="preserve">降低长期训练成本</t>
  </si>
  <si>
    <t xml:space="preserve">Research Fab</t>
  </si>
  <si>
    <r>
      <rPr>
        <sz val="11"/>
        <color theme="1"/>
        <rFont val="DejaVu Sans"/>
        <family val="2"/>
      </rPr>
      <t xml:space="preserve">破土 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与 </t>
    </r>
    <r>
      <rPr>
        <sz val="11"/>
        <color theme="1"/>
        <rFont val="DejaVu Sans"/>
        <family val="2"/>
        <charset val="1"/>
      </rPr>
      <t xml:space="preserve">SpaceX </t>
    </r>
    <r>
      <rPr>
        <sz val="11"/>
        <color theme="1"/>
        <rFont val="DejaVu Sans"/>
        <family val="2"/>
      </rPr>
      <t xml:space="preserve">共建</t>
    </r>
    <r>
      <rPr>
        <sz val="11"/>
        <color theme="1"/>
        <rFont val="DejaVu Sans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</si>
  <si>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2028-2030 </t>
    </r>
    <r>
      <rPr>
        <sz val="11"/>
        <color theme="1"/>
        <rFont val="DejaVu Sans"/>
        <family val="2"/>
      </rPr>
      <t xml:space="preserve">投产</t>
    </r>
  </si>
  <si>
    <t xml:space="preserve">芯片供应链垂直整合</t>
  </si>
  <si>
    <r>
      <rPr>
        <sz val="11"/>
        <color theme="1"/>
        <rFont val="Calibri"/>
        <family val="2"/>
        <charset val="1"/>
      </rPr>
      <t xml:space="preserve">LFP </t>
    </r>
    <r>
      <rPr>
        <sz val="11"/>
        <color theme="1"/>
        <rFont val="DejaVu Sans"/>
        <family val="2"/>
      </rPr>
      <t xml:space="preserve">电池</t>
    </r>
  </si>
  <si>
    <t xml:space="preserve">Nevada 7 GWh ramp</t>
  </si>
  <si>
    <r>
      <rPr>
        <sz val="11"/>
        <color theme="1"/>
        <rFont val="Calibri"/>
        <family val="2"/>
        <charset val="1"/>
      </rPr>
      <t xml:space="preserve">40+ GWh </t>
    </r>
    <r>
      <rPr>
        <sz val="11"/>
        <color theme="1"/>
        <rFont val="DejaVu Sans"/>
        <family val="2"/>
      </rPr>
      <t xml:space="preserve">短期</t>
    </r>
  </si>
  <si>
    <t xml:space="preserve">降低电池成本</t>
  </si>
  <si>
    <t xml:space="preserve">六、使用方法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</si>
  <si>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DejaVu Sans"/>
        <family val="2"/>
      </rPr>
      <t xml:space="preserve">每季度 </t>
    </r>
    <r>
      <rPr>
        <sz val="11"/>
        <color theme="1"/>
        <rFont val="Calibri"/>
        <family val="2"/>
        <charset val="1"/>
      </rPr>
      <t xml:space="preserve">Tesla </t>
    </r>
    <r>
      <rPr>
        <sz val="11"/>
        <color theme="1"/>
        <rFont val="DejaVu Sans"/>
        <family val="2"/>
      </rPr>
      <t xml:space="preserve">财报当天填入 </t>
    </r>
    <r>
      <rPr>
        <sz val="11"/>
        <color theme="1"/>
        <rFont val="Calibri"/>
        <family val="2"/>
        <charset val="1"/>
      </rPr>
      <t xml:space="preserve">D/E/F/G </t>
    </r>
    <r>
      <rPr>
        <sz val="11"/>
        <color theme="1"/>
        <rFont val="DejaVu Sans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</si>
  <si>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DejaVu Sans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KPI </t>
    </r>
    <r>
      <rPr>
        <sz val="11"/>
        <color theme="1"/>
        <rFont val="DejaVu Sans"/>
        <family val="2"/>
      </rPr>
      <t xml:space="preserve">触及警戒阈值，反向调整 </t>
    </r>
    <r>
      <rPr>
        <sz val="11"/>
        <color theme="1"/>
        <rFont val="Calibri"/>
        <family val="2"/>
        <charset val="1"/>
      </rPr>
      <t xml:space="preserve">Sheet 6 </t>
    </r>
    <r>
      <rPr>
        <sz val="11"/>
        <color theme="1"/>
        <rFont val="DejaVu Sans"/>
        <family val="2"/>
      </rPr>
      <t xml:space="preserve">对应期权的概率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</si>
  <si>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DejaVu Sans"/>
        <family val="2"/>
      </rPr>
      <t xml:space="preserve">重大里程碑达成（成功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失败）→ 立即调整 </t>
    </r>
    <r>
      <rPr>
        <sz val="11"/>
        <color theme="1"/>
        <rFont val="Calibri"/>
        <family val="2"/>
        <charset val="1"/>
      </rPr>
      <t xml:space="preserve">Sheet 6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</si>
  <si>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DejaVu Sans"/>
        <family val="2"/>
      </rPr>
      <t xml:space="preserve">不要每周更新 — 季度颗粒度足够</t>
    </r>
  </si>
  <si>
    <r>
      <rPr>
        <b val="true"/>
        <sz val="14"/>
        <color rgb="FF2E7D32"/>
        <rFont val="Cambria"/>
        <family val="0"/>
        <charset val="1"/>
      </rPr>
      <t xml:space="preserve">Tesla </t>
    </r>
    <r>
      <rPr>
        <b val="true"/>
        <sz val="14"/>
        <color rgb="FF2E7D32"/>
        <rFont val="DejaVu Sans"/>
        <family val="2"/>
      </rPr>
      <t xml:space="preserve">概率决策框架 — 扑克思维下注</t>
    </r>
  </si>
  <si>
    <r>
      <rPr>
        <i val="true"/>
        <sz val="11"/>
        <color rgb="FF808080"/>
        <rFont val="DejaVu Sans"/>
        <family val="2"/>
      </rPr>
      <t xml:space="preserve">原理</t>
    </r>
    <r>
      <rPr>
        <i val="true"/>
        <sz val="11"/>
        <color rgb="FF808080"/>
        <rFont val="DejaVu Sans"/>
        <family val="2"/>
        <charset val="1"/>
      </rPr>
      <t xml:space="preserve">: </t>
    </r>
    <r>
      <rPr>
        <i val="true"/>
        <sz val="11"/>
        <color rgb="FF808080"/>
        <rFont val="DejaVu Sans"/>
        <family val="2"/>
      </rPr>
      <t xml:space="preserve">不需判定真实概率</t>
    </r>
    <r>
      <rPr>
        <i val="true"/>
        <sz val="11"/>
        <color rgb="FF808080"/>
        <rFont val="DejaVu Sans"/>
        <family val="2"/>
        <charset val="1"/>
      </rPr>
      <t xml:space="preserve">, </t>
    </r>
    <r>
      <rPr>
        <i val="true"/>
        <sz val="11"/>
        <color rgb="FF808080"/>
        <rFont val="DejaVu Sans"/>
        <family val="2"/>
      </rPr>
      <t xml:space="preserve">只需判定我的估计与盈亏平衡的距离</t>
    </r>
  </si>
  <si>
    <r>
      <rPr>
        <b val="true"/>
        <sz val="12"/>
        <rFont val="DejaVu Sans"/>
        <family val="2"/>
      </rPr>
      <t xml:space="preserve">一、核心参数（蓝色 </t>
    </r>
    <r>
      <rPr>
        <b val="true"/>
        <sz val="12"/>
        <rFont val="DejaVu Sans"/>
        <family val="2"/>
        <charset val="1"/>
      </rPr>
      <t xml:space="preserve">= </t>
    </r>
    <r>
      <rPr>
        <b val="true"/>
        <sz val="12"/>
        <rFont val="DejaVu Sans"/>
        <family val="2"/>
      </rPr>
      <t xml:space="preserve">你输入）</t>
    </r>
  </si>
  <si>
    <r>
      <rPr>
        <sz val="11"/>
        <color theme="1"/>
        <rFont val="DejaVu Sans"/>
        <family val="2"/>
      </rPr>
      <t xml:space="preserve">从 </t>
    </r>
    <r>
      <rPr>
        <sz val="11"/>
        <color theme="1"/>
        <rFont val="DejaVu Sans"/>
        <family val="2"/>
        <charset val="1"/>
      </rPr>
      <t xml:space="preserve">Sheet 1 </t>
    </r>
    <r>
      <rPr>
        <sz val="11"/>
        <color theme="1"/>
        <rFont val="DejaVu Sans"/>
        <family val="2"/>
      </rPr>
      <t xml:space="preserve">引用</t>
    </r>
  </si>
  <si>
    <r>
      <rPr>
        <sz val="11"/>
        <color theme="1"/>
        <rFont val="DejaVu Sans"/>
        <family val="2"/>
      </rPr>
      <t xml:space="preserve">稀释股本 </t>
    </r>
    <r>
      <rPr>
        <sz val="11"/>
        <color theme="1"/>
        <rFont val="DejaVu Sans"/>
        <family val="2"/>
        <charset val="1"/>
      </rPr>
      <t xml:space="preserve">(B </t>
    </r>
    <r>
      <rPr>
        <sz val="11"/>
        <color theme="1"/>
        <rFont val="DejaVu Sans"/>
        <family val="2"/>
      </rPr>
      <t xml:space="preserve">股</t>
    </r>
    <r>
      <rPr>
        <sz val="11"/>
        <color theme="1"/>
        <rFont val="DejaVu Sans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</si>
  <si>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自动 </t>
    </r>
    <r>
      <rPr>
        <sz val="11"/>
        <color theme="1"/>
        <rFont val="DejaVu Sans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股价 </t>
    </r>
    <r>
      <rPr>
        <sz val="11"/>
        <color theme="1"/>
        <rFont val="DejaVu Sans"/>
        <family val="2"/>
        <charset val="1"/>
      </rPr>
      <t xml:space="preserve">× </t>
    </r>
    <r>
      <rPr>
        <sz val="11"/>
        <color theme="1"/>
        <rFont val="DejaVu Sans"/>
        <family val="2"/>
      </rPr>
      <t xml:space="preserve">股本</t>
    </r>
  </si>
  <si>
    <r>
      <rPr>
        <sz val="11"/>
        <color theme="1"/>
        <rFont val="DejaVu Sans"/>
        <family val="2"/>
      </rPr>
      <t xml:space="preserve">要求年化回报 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折现率</t>
    </r>
    <r>
      <rPr>
        <sz val="11"/>
        <color theme="1"/>
        <rFont val="DejaVu Sans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</si>
  <si>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年折现因子</t>
    </r>
  </si>
  <si>
    <r>
      <rPr>
        <sz val="11"/>
        <color theme="1"/>
        <rFont val="DejaVu Sans"/>
        <family val="2"/>
      </rPr>
      <t xml:space="preserve">自动 </t>
    </r>
    <r>
      <rPr>
        <sz val="11"/>
        <color theme="1"/>
        <rFont val="DejaVu Sans"/>
        <family val="2"/>
        <charset val="1"/>
      </rPr>
      <t xml:space="preserve">= (1+r)^5</t>
    </r>
  </si>
  <si>
    <r>
      <rPr>
        <sz val="11"/>
        <color theme="1"/>
        <rFont val="Calibri"/>
        <family val="2"/>
        <charset val="1"/>
      </rPr>
      <t xml:space="preserve">P(C </t>
    </r>
    <r>
      <rPr>
        <sz val="11"/>
        <color theme="1"/>
        <rFont val="DejaVu Sans"/>
        <family val="2"/>
      </rPr>
      <t xml:space="preserve">失败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DejaVu Sans"/>
        <family val="2"/>
      </rPr>
      <t xml:space="preserve">固定假设</t>
    </r>
  </si>
  <si>
    <t xml:space="preserve">可调</t>
  </si>
  <si>
    <r>
      <rPr>
        <sz val="11"/>
        <color theme="1"/>
        <rFont val="DejaVu Sans"/>
        <family val="2"/>
      </rPr>
      <t xml:space="preserve">我的 </t>
    </r>
    <r>
      <rPr>
        <sz val="11"/>
        <color theme="1"/>
        <rFont val="DejaVu Sans"/>
        <family val="2"/>
        <charset val="1"/>
      </rPr>
      <t xml:space="preserve">P(A) </t>
    </r>
    <r>
      <rPr>
        <sz val="11"/>
        <color theme="1"/>
        <rFont val="DejaVu Sans"/>
        <family val="2"/>
      </rPr>
      <t xml:space="preserve">估计</t>
    </r>
  </si>
  <si>
    <t xml:space="preserve">⭐ 你的核心判断</t>
  </si>
  <si>
    <r>
      <rPr>
        <b val="true"/>
        <sz val="12"/>
        <rFont val="DejaVu Sans"/>
        <family val="2"/>
      </rPr>
      <t xml:space="preserve">二、三情景估值（蓝色 </t>
    </r>
    <r>
      <rPr>
        <b val="true"/>
        <sz val="12"/>
        <rFont val="DejaVu Sans"/>
        <family val="2"/>
        <charset val="1"/>
      </rPr>
      <t xml:space="preserve">= </t>
    </r>
    <r>
      <rPr>
        <b val="true"/>
        <sz val="12"/>
        <rFont val="DejaVu Sans"/>
        <family val="2"/>
      </rPr>
      <t xml:space="preserve">可调；基于之前分析）</t>
    </r>
  </si>
  <si>
    <r>
      <rPr>
        <b val="true"/>
        <sz val="11"/>
        <rFont val="DejaVu Sans"/>
        <family val="2"/>
      </rPr>
      <t xml:space="preserve">今天单股 </t>
    </r>
    <r>
      <rPr>
        <b val="true"/>
        <sz val="11"/>
        <rFont val="DejaVu Sans"/>
        <family val="2"/>
        <charset val="1"/>
      </rPr>
      <t xml:space="preserve">($)</t>
    </r>
  </si>
  <si>
    <r>
      <rPr>
        <b val="true"/>
        <sz val="11"/>
        <rFont val="Cambria"/>
        <family val="0"/>
        <charset val="1"/>
      </rPr>
      <t xml:space="preserve">2031 </t>
    </r>
    <r>
      <rPr>
        <b val="true"/>
        <sz val="11"/>
        <rFont val="DejaVu Sans"/>
        <family val="2"/>
      </rPr>
      <t xml:space="preserve">公允 </t>
    </r>
    <r>
      <rPr>
        <b val="true"/>
        <sz val="11"/>
        <rFont val="Cambria"/>
        <family val="0"/>
        <charset val="1"/>
      </rPr>
      <t xml:space="preserve">($B)</t>
    </r>
  </si>
  <si>
    <r>
      <rPr>
        <b val="true"/>
        <sz val="11"/>
        <rFont val="Cambria"/>
        <family val="0"/>
        <charset val="1"/>
      </rPr>
      <t xml:space="preserve">2031 </t>
    </r>
    <r>
      <rPr>
        <b val="true"/>
        <sz val="11"/>
        <rFont val="DejaVu Sans"/>
        <family val="2"/>
      </rPr>
      <t xml:space="preserve">单股 </t>
    </r>
    <r>
      <rPr>
        <b val="true"/>
        <sz val="11"/>
        <rFont val="Cambria"/>
        <family val="0"/>
        <charset val="1"/>
      </rPr>
      <t xml:space="preserve">($)</t>
    </r>
  </si>
  <si>
    <r>
      <rPr>
        <b val="true"/>
        <sz val="11"/>
        <rFont val="Cambria"/>
        <family val="0"/>
        <charset val="1"/>
      </rPr>
      <t xml:space="preserve">5Y </t>
    </r>
    <r>
      <rPr>
        <b val="true"/>
        <sz val="11"/>
        <rFont val="DejaVu Sans"/>
        <family val="2"/>
      </rPr>
      <t xml:space="preserve">总回报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DejaVu Sans"/>
        <family val="2"/>
      </rPr>
      <t xml:space="preserve">当前价</t>
    </r>
  </si>
  <si>
    <r>
      <rPr>
        <sz val="11"/>
        <color theme="1"/>
        <rFont val="Calibri"/>
        <family val="2"/>
        <charset val="1"/>
      </rPr>
      <t xml:space="preserve">A. FSD </t>
    </r>
    <r>
      <rPr>
        <sz val="11"/>
        <color theme="1"/>
        <rFont val="DejaVu Sans"/>
        <family val="2"/>
      </rPr>
      <t xml:space="preserve">通用化成功</t>
    </r>
  </si>
  <si>
    <r>
      <rPr>
        <sz val="11"/>
        <color theme="1"/>
        <rFont val="DejaVu Sans"/>
        <family val="2"/>
        <charset val="1"/>
      </rPr>
      <t xml:space="preserve">SOTP Bull ($1,657B) + </t>
    </r>
    <r>
      <rPr>
        <sz val="11"/>
        <color theme="1"/>
        <rFont val="DejaVu Sans"/>
        <family val="2"/>
      </rPr>
      <t xml:space="preserve">期权 </t>
    </r>
    <r>
      <rPr>
        <sz val="11"/>
        <color theme="1"/>
        <rFont val="DejaVu Sans"/>
        <family val="2"/>
        <charset val="1"/>
      </rPr>
      <t xml:space="preserve">FSD </t>
    </r>
    <r>
      <rPr>
        <sz val="11"/>
        <color theme="1"/>
        <rFont val="DejaVu Sans"/>
        <family val="2"/>
      </rPr>
      <t xml:space="preserve">成功条件下 </t>
    </r>
    <r>
      <rPr>
        <sz val="11"/>
        <color theme="1"/>
        <rFont val="DejaVu Sans"/>
        <family val="2"/>
        <charset val="1"/>
      </rPr>
      <t xml:space="preserve">($634B)</t>
    </r>
  </si>
  <si>
    <r>
      <rPr>
        <sz val="11"/>
        <color theme="1"/>
        <rFont val="Calibri"/>
        <family val="2"/>
        <charset val="1"/>
      </rPr>
      <t xml:space="preserve">B. </t>
    </r>
    <r>
      <rPr>
        <sz val="11"/>
        <color theme="1"/>
        <rFont val="DejaVu Sans"/>
        <family val="2"/>
      </rPr>
      <t xml:space="preserve">部分实现</t>
    </r>
  </si>
  <si>
    <r>
      <rPr>
        <sz val="11"/>
        <color theme="1"/>
        <rFont val="Calibri"/>
        <family val="2"/>
        <charset val="1"/>
      </rPr>
      <t xml:space="preserve">SOTP Base ($865B) + </t>
    </r>
    <r>
      <rPr>
        <sz val="11"/>
        <color theme="1"/>
        <rFont val="DejaVu Sans"/>
        <family val="2"/>
      </rPr>
      <t xml:space="preserve">期权 部分实现 </t>
    </r>
    <r>
      <rPr>
        <sz val="11"/>
        <color theme="1"/>
        <rFont val="Calibri"/>
        <family val="2"/>
        <charset val="1"/>
      </rPr>
      <t xml:space="preserve">($224B)</t>
    </r>
  </si>
  <si>
    <r>
      <rPr>
        <sz val="11"/>
        <color theme="1"/>
        <rFont val="Calibri"/>
        <family val="2"/>
        <charset val="1"/>
      </rPr>
      <t xml:space="preserve">C. </t>
    </r>
    <r>
      <rPr>
        <sz val="11"/>
        <color theme="1"/>
        <rFont val="DejaVu Sans"/>
        <family val="2"/>
      </rPr>
      <t xml:space="preserve">失败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回归汽车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</si>
  <si>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SOTP Bear ($506B) + </t>
    </r>
    <r>
      <rPr>
        <sz val="11"/>
        <color theme="1"/>
        <rFont val="DejaVu Sans"/>
        <family val="2"/>
      </rPr>
      <t xml:space="preserve">期权 失败下 </t>
    </r>
    <r>
      <rPr>
        <sz val="11"/>
        <color theme="1"/>
        <rFont val="Calibri"/>
        <family val="2"/>
        <charset val="1"/>
      </rPr>
      <t xml:space="preserve">($25B)</t>
    </r>
  </si>
  <si>
    <r>
      <rPr>
        <i val="true"/>
        <sz val="11"/>
        <color rgb="FF2E7D32"/>
        <rFont val="DejaVu Sans"/>
        <family val="2"/>
      </rPr>
      <t xml:space="preserve">⚠️ 说明</t>
    </r>
    <r>
      <rPr>
        <i val="true"/>
        <sz val="11"/>
        <color rgb="FF2E7D32"/>
        <rFont val="DejaVu Sans"/>
        <family val="2"/>
        <charset val="1"/>
      </rPr>
      <t xml:space="preserve">: </t>
    </r>
    <r>
      <rPr>
        <i val="true"/>
        <sz val="11"/>
        <color rgb="FF2E7D32"/>
        <rFont val="DejaVu Sans"/>
        <family val="2"/>
      </rPr>
      <t xml:space="preserve">修订后的三情景值与 </t>
    </r>
    <r>
      <rPr>
        <i val="true"/>
        <sz val="11"/>
        <color rgb="FF2E7D32"/>
        <rFont val="DejaVu Sans"/>
        <family val="2"/>
        <charset val="1"/>
      </rPr>
      <t xml:space="preserve">Sheet 3 SOTP </t>
    </r>
    <r>
      <rPr>
        <i val="true"/>
        <sz val="11"/>
        <color rgb="FF2E7D32"/>
        <rFont val="DejaVu Sans"/>
        <family val="2"/>
      </rPr>
      <t xml:space="preserve">对齐</t>
    </r>
    <r>
      <rPr>
        <i val="true"/>
        <sz val="11"/>
        <color rgb="FF2E7D32"/>
        <rFont val="DejaVu Sans"/>
        <family val="2"/>
        <charset val="1"/>
      </rPr>
      <t xml:space="preserve">(</t>
    </r>
    <r>
      <rPr>
        <i val="true"/>
        <sz val="11"/>
        <color rgb="FF2E7D32"/>
        <rFont val="DejaVu Sans"/>
        <family val="2"/>
      </rPr>
      <t xml:space="preserve">主营 </t>
    </r>
    <r>
      <rPr>
        <i val="true"/>
        <sz val="11"/>
        <color rgb="FF2E7D32"/>
        <rFont val="DejaVu Sans"/>
        <family val="2"/>
        <charset val="1"/>
      </rPr>
      <t xml:space="preserve">+ FSD </t>
    </r>
    <r>
      <rPr>
        <i val="true"/>
        <sz val="11"/>
        <color rgb="FF2E7D32"/>
        <rFont val="DejaVu Sans"/>
        <family val="2"/>
      </rPr>
      <t xml:space="preserve">条件期权</t>
    </r>
    <r>
      <rPr>
        <i val="true"/>
        <sz val="11"/>
        <color rgb="FF2E7D32"/>
        <rFont val="DejaVu Sans"/>
        <family val="2"/>
        <charset val="1"/>
      </rPr>
      <t xml:space="preserve">)</t>
    </r>
  </si>
  <si>
    <r>
      <rPr>
        <b val="true"/>
        <sz val="12"/>
        <rFont val="DejaVu Sans"/>
        <family val="2"/>
      </rPr>
      <t xml:space="preserve">三、盈亏平衡分析（在当前价 </t>
    </r>
    <r>
      <rPr>
        <b val="true"/>
        <sz val="12"/>
        <rFont val="DejaVu Sans"/>
        <family val="2"/>
        <charset val="1"/>
      </rPr>
      <t xml:space="preserve">$428</t>
    </r>
    <r>
      <rPr>
        <b val="true"/>
        <sz val="12"/>
        <rFont val="DejaVu Sans"/>
        <family val="2"/>
      </rPr>
      <t xml:space="preserve">）</t>
    </r>
  </si>
  <si>
    <t xml:space="preserve">Break-even P(A)</t>
  </si>
  <si>
    <r>
      <rPr>
        <sz val="11"/>
        <color theme="1"/>
        <rFont val="DejaVu Sans"/>
        <family val="2"/>
      </rPr>
      <t xml:space="preserve">⭐ 当前价让 </t>
    </r>
    <r>
      <rPr>
        <sz val="11"/>
        <color theme="1"/>
        <rFont val="DejaVu Sans"/>
        <family val="2"/>
        <charset val="1"/>
      </rPr>
      <t xml:space="preserve">Tesla </t>
    </r>
    <r>
      <rPr>
        <sz val="11"/>
        <color theme="1"/>
        <rFont val="DejaVu Sans"/>
        <family val="2"/>
      </rPr>
      <t xml:space="preserve">成为 </t>
    </r>
    <r>
      <rPr>
        <sz val="11"/>
        <color theme="1"/>
        <rFont val="DejaVu Sans"/>
        <family val="2"/>
        <charset val="1"/>
      </rPr>
      <t xml:space="preserve">+EV </t>
    </r>
    <r>
      <rPr>
        <sz val="11"/>
        <color theme="1"/>
        <rFont val="DejaVu Sans"/>
        <family val="2"/>
      </rPr>
      <t xml:space="preserve">押注所需的 </t>
    </r>
    <r>
      <rPr>
        <sz val="11"/>
        <color theme="1"/>
        <rFont val="DejaVu Sans"/>
        <family val="2"/>
        <charset val="1"/>
      </rPr>
      <t xml:space="preserve">P(A)</t>
    </r>
  </si>
  <si>
    <r>
      <rPr>
        <sz val="11"/>
        <color theme="1"/>
        <rFont val="DejaVu Sans"/>
        <family val="2"/>
      </rPr>
      <t xml:space="preserve">距离盈亏平衡 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我的估计 </t>
    </r>
    <r>
      <rPr>
        <sz val="11"/>
        <color theme="1"/>
        <rFont val="DejaVu Sans"/>
        <family val="2"/>
        <charset val="1"/>
      </rPr>
      <t xml:space="preserve">- break-even)</t>
    </r>
  </si>
  <si>
    <t xml:space="preserve">⭐ 决策建议</t>
  </si>
  <si>
    <r>
      <rPr>
        <b val="true"/>
        <sz val="12"/>
        <rFont val="DejaVu Sans"/>
        <family val="2"/>
      </rPr>
      <t xml:space="preserve">四、不同 </t>
    </r>
    <r>
      <rPr>
        <b val="true"/>
        <sz val="12"/>
        <rFont val="DejaVu Sans"/>
        <family val="2"/>
        <charset val="1"/>
      </rPr>
      <t xml:space="preserve">P(A) </t>
    </r>
    <r>
      <rPr>
        <b val="true"/>
        <sz val="12"/>
        <rFont val="DejaVu Sans"/>
        <family val="2"/>
      </rPr>
      <t xml:space="preserve">假设下的合理价位</t>
    </r>
  </si>
  <si>
    <r>
      <rPr>
        <i val="true"/>
        <sz val="11"/>
        <color rgb="FF2E7D32"/>
        <rFont val="DejaVu Sans"/>
        <family val="2"/>
      </rPr>
      <t xml:space="preserve">⭐ 这张表告诉你</t>
    </r>
    <r>
      <rPr>
        <i val="true"/>
        <sz val="11"/>
        <color rgb="FF2E7D32"/>
        <rFont val="DejaVu Sans"/>
        <family val="2"/>
        <charset val="1"/>
      </rPr>
      <t xml:space="preserve">: </t>
    </r>
    <r>
      <rPr>
        <i val="true"/>
        <sz val="11"/>
        <color rgb="FF2E7D32"/>
        <rFont val="DejaVu Sans"/>
        <family val="2"/>
      </rPr>
      <t xml:space="preserve">你对 </t>
    </r>
    <r>
      <rPr>
        <i val="true"/>
        <sz val="11"/>
        <color rgb="FF2E7D32"/>
        <rFont val="DejaVu Sans"/>
        <family val="2"/>
        <charset val="1"/>
      </rPr>
      <t xml:space="preserve">FSD </t>
    </r>
    <r>
      <rPr>
        <i val="true"/>
        <sz val="11"/>
        <color rgb="FF2E7D32"/>
        <rFont val="DejaVu Sans"/>
        <family val="2"/>
      </rPr>
      <t xml:space="preserve">多乐观 → 多少钱算公允</t>
    </r>
  </si>
  <si>
    <t xml:space="preserve">P(A)</t>
  </si>
  <si>
    <t xml:space="preserve">P(B)</t>
  </si>
  <si>
    <t xml:space="preserve">P(C)</t>
  </si>
  <si>
    <r>
      <rPr>
        <b val="true"/>
        <sz val="11"/>
        <rFont val="DejaVu Sans"/>
        <family val="2"/>
      </rPr>
      <t xml:space="preserve">公允市值 </t>
    </r>
    <r>
      <rPr>
        <b val="true"/>
        <sz val="11"/>
        <rFont val="DejaVu Sans"/>
        <family val="2"/>
        <charset val="1"/>
      </rPr>
      <t xml:space="preserve">($B)</t>
    </r>
  </si>
  <si>
    <r>
      <rPr>
        <b val="true"/>
        <sz val="11"/>
        <rFont val="DejaVu Sans"/>
        <family val="2"/>
      </rPr>
      <t xml:space="preserve">公允单股 </t>
    </r>
    <r>
      <rPr>
        <b val="true"/>
        <sz val="11"/>
        <rFont val="DejaVu Sans"/>
        <family val="2"/>
        <charset val="1"/>
      </rPr>
      <t xml:space="preserve">($)</t>
    </r>
  </si>
  <si>
    <t xml:space="preserve">当前价偏离</t>
  </si>
  <si>
    <r>
      <rPr>
        <b val="true"/>
        <sz val="12"/>
        <rFont val="DejaVu Sans"/>
        <family val="2"/>
      </rPr>
      <t xml:space="preserve">五、不同买入价位需要的最低 </t>
    </r>
    <r>
      <rPr>
        <b val="true"/>
        <sz val="12"/>
        <rFont val="DejaVu Sans"/>
        <family val="2"/>
        <charset val="1"/>
      </rPr>
      <t xml:space="preserve">P(A)</t>
    </r>
    <r>
      <rPr>
        <b val="true"/>
        <sz val="12"/>
        <rFont val="DejaVu Sans"/>
        <family val="2"/>
      </rPr>
      <t xml:space="preserve">（盈亏平衡）</t>
    </r>
  </si>
  <si>
    <r>
      <rPr>
        <i val="true"/>
        <sz val="11"/>
        <color rgb="FF2E7D32"/>
        <rFont val="DejaVu Sans"/>
        <family val="2"/>
      </rPr>
      <t xml:space="preserve">⭐ 这张表告诉你</t>
    </r>
    <r>
      <rPr>
        <i val="true"/>
        <sz val="11"/>
        <color rgb="FF2E7D32"/>
        <rFont val="DejaVu Sans"/>
        <family val="2"/>
        <charset val="1"/>
      </rPr>
      <t xml:space="preserve">: </t>
    </r>
    <r>
      <rPr>
        <i val="true"/>
        <sz val="11"/>
        <color rgb="FF2E7D32"/>
        <rFont val="DejaVu Sans"/>
        <family val="2"/>
      </rPr>
      <t xml:space="preserve">在什么价位 </t>
    </r>
    <r>
      <rPr>
        <i val="true"/>
        <sz val="11"/>
        <color rgb="FF2E7D32"/>
        <rFont val="DejaVu Sans"/>
        <family val="2"/>
        <charset val="1"/>
      </rPr>
      <t xml:space="preserve">Tesla </t>
    </r>
    <r>
      <rPr>
        <i val="true"/>
        <sz val="11"/>
        <color rgb="FF2E7D32"/>
        <rFont val="DejaVu Sans"/>
        <family val="2"/>
      </rPr>
      <t xml:space="preserve">是合理买点（给定你的 </t>
    </r>
    <r>
      <rPr>
        <i val="true"/>
        <sz val="11"/>
        <color rgb="FF2E7D32"/>
        <rFont val="DejaVu Sans"/>
        <family val="2"/>
        <charset val="1"/>
      </rPr>
      <t xml:space="preserve">P(A) </t>
    </r>
    <r>
      <rPr>
        <i val="true"/>
        <sz val="11"/>
        <color rgb="FF2E7D32"/>
        <rFont val="DejaVu Sans"/>
        <family val="2"/>
      </rPr>
      <t xml:space="preserve">假设）</t>
    </r>
  </si>
  <si>
    <r>
      <rPr>
        <b val="true"/>
        <sz val="11"/>
        <rFont val="DejaVu Sans"/>
        <family val="2"/>
      </rPr>
      <t xml:space="preserve">股价 </t>
    </r>
    <r>
      <rPr>
        <b val="true"/>
        <sz val="11"/>
        <rFont val="DejaVu Sans"/>
        <family val="2"/>
        <charset val="1"/>
      </rPr>
      <t xml:space="preserve">($)</t>
    </r>
  </si>
  <si>
    <r>
      <rPr>
        <b val="true"/>
        <sz val="11"/>
        <rFont val="DejaVu Sans"/>
        <family val="2"/>
      </rPr>
      <t xml:space="preserve">市值 </t>
    </r>
    <r>
      <rPr>
        <b val="true"/>
        <sz val="11"/>
        <rFont val="DejaVu Sans"/>
        <family val="2"/>
        <charset val="1"/>
      </rPr>
      <t xml:space="preserve">($B)</t>
    </r>
  </si>
  <si>
    <r>
      <rPr>
        <b val="true"/>
        <sz val="11"/>
        <rFont val="DejaVu Sans"/>
        <family val="2"/>
      </rPr>
      <t xml:space="preserve">所需 </t>
    </r>
    <r>
      <rPr>
        <b val="true"/>
        <sz val="11"/>
        <rFont val="DejaVu Sans"/>
        <family val="2"/>
        <charset val="1"/>
      </rPr>
      <t xml:space="preserve">Break-even P(A)</t>
    </r>
  </si>
  <si>
    <r>
      <rPr>
        <b val="true"/>
        <sz val="11"/>
        <rFont val="DejaVu Sans"/>
        <family val="2"/>
      </rPr>
      <t xml:space="preserve">我的估计是否够</t>
    </r>
    <r>
      <rPr>
        <b val="true"/>
        <sz val="11"/>
        <rFont val="DejaVu Sans"/>
        <family val="2"/>
        <charset val="1"/>
      </rPr>
      <t xml:space="preserve">?</t>
    </r>
  </si>
  <si>
    <t xml:space="preserve">决策</t>
  </si>
  <si>
    <r>
      <rPr>
        <b val="true"/>
        <sz val="12"/>
        <rFont val="DejaVu Sans"/>
        <family val="2"/>
      </rPr>
      <t xml:space="preserve">六、</t>
    </r>
    <r>
      <rPr>
        <b val="true"/>
        <sz val="12"/>
        <rFont val="DejaVu Sans"/>
        <family val="2"/>
        <charset val="1"/>
      </rPr>
      <t xml:space="preserve">Kelly </t>
    </r>
    <r>
      <rPr>
        <b val="true"/>
        <sz val="12"/>
        <rFont val="DejaVu Sans"/>
        <family val="2"/>
      </rPr>
      <t xml:space="preserve">公式 — 仓位大小（即使 </t>
    </r>
    <r>
      <rPr>
        <b val="true"/>
        <sz val="12"/>
        <rFont val="DejaVu Sans"/>
        <family val="2"/>
        <charset val="1"/>
      </rPr>
      <t xml:space="preserve">+EV </t>
    </r>
    <r>
      <rPr>
        <b val="true"/>
        <sz val="12"/>
        <rFont val="DejaVu Sans"/>
        <family val="2"/>
      </rPr>
      <t xml:space="preserve">也不应全仓）</t>
    </r>
  </si>
  <si>
    <r>
      <rPr>
        <sz val="11"/>
        <color theme="1"/>
        <rFont val="Calibri"/>
        <family val="2"/>
        <charset val="1"/>
      </rPr>
      <t xml:space="preserve">Kelly </t>
    </r>
    <r>
      <rPr>
        <sz val="11"/>
        <color theme="1"/>
        <rFont val="DejaVu Sans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= (P × W - Q × L) / W</t>
    </r>
  </si>
  <si>
    <r>
      <rPr>
        <sz val="11"/>
        <color theme="1"/>
        <rFont val="DejaVu Sans"/>
        <family val="2"/>
      </rPr>
      <t xml:space="preserve">其中</t>
    </r>
    <r>
      <rPr>
        <sz val="11"/>
        <color theme="1"/>
        <rFont val="DejaVu Sans"/>
        <family val="2"/>
        <charset val="1"/>
      </rPr>
      <t xml:space="preserve">: P = </t>
    </r>
    <r>
      <rPr>
        <sz val="11"/>
        <color theme="1"/>
        <rFont val="DejaVu Sans"/>
        <family val="2"/>
      </rPr>
      <t xml:space="preserve">赢的概率 </t>
    </r>
    <r>
      <rPr>
        <sz val="11"/>
        <color theme="1"/>
        <rFont val="DejaVu Sans"/>
        <family val="2"/>
        <charset val="1"/>
      </rPr>
      <t xml:space="preserve">(P(A)), Q = </t>
    </r>
    <r>
      <rPr>
        <sz val="11"/>
        <color theme="1"/>
        <rFont val="DejaVu Sans"/>
        <family val="2"/>
      </rPr>
      <t xml:space="preserve">输的概率 </t>
    </r>
    <r>
      <rPr>
        <sz val="11"/>
        <color theme="1"/>
        <rFont val="DejaVu Sans"/>
        <family val="2"/>
        <charset val="1"/>
      </rPr>
      <t xml:space="preserve">(P(B)+P(C))</t>
    </r>
  </si>
  <si>
    <r>
      <rPr>
        <sz val="11"/>
        <color theme="1"/>
        <rFont val="Calibri"/>
        <family val="2"/>
        <charset val="1"/>
      </rPr>
      <t xml:space="preserve">      W = </t>
    </r>
    <r>
      <rPr>
        <sz val="11"/>
        <color theme="1"/>
        <rFont val="DejaVu Sans"/>
        <family val="2"/>
      </rPr>
      <t xml:space="preserve">赢的回报倍数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今天买入 </t>
    </r>
    <r>
      <rPr>
        <sz val="11"/>
        <color theme="1"/>
        <rFont val="Calibri"/>
        <family val="2"/>
        <charset val="1"/>
      </rPr>
      <t xml:space="preserve">vs A </t>
    </r>
    <r>
      <rPr>
        <sz val="11"/>
        <color theme="1"/>
        <rFont val="DejaVu Sans"/>
        <family val="2"/>
      </rPr>
      <t xml:space="preserve">情景公允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</si>
  <si>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      L = </t>
    </r>
    <r>
      <rPr>
        <sz val="11"/>
        <color theme="1"/>
        <rFont val="DejaVu Sans"/>
        <family val="2"/>
      </rPr>
      <t xml:space="preserve">输的损失倍数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加权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DejaVu Sans"/>
        <family val="2"/>
      </rPr>
      <t xml:space="preserve">和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DejaVu Sans"/>
        <family val="2"/>
      </rPr>
      <t xml:space="preserve">的损失</t>
    </r>
    <r>
      <rPr>
        <sz val="11"/>
        <color theme="1"/>
        <rFont val="Calibri"/>
        <family val="2"/>
        <charset val="1"/>
      </rPr>
      <t xml:space="preserve">)</t>
    </r>
  </si>
  <si>
    <t xml:space="preserve">关键数据</t>
  </si>
  <si>
    <r>
      <rPr>
        <sz val="11"/>
        <color theme="1"/>
        <rFont val="Calibri"/>
        <family val="2"/>
        <charset val="1"/>
      </rPr>
      <t xml:space="preserve">W (</t>
    </r>
    <r>
      <rPr>
        <sz val="11"/>
        <color theme="1"/>
        <rFont val="DejaVu Sans"/>
        <family val="2"/>
      </rPr>
      <t xml:space="preserve">赢的回报 </t>
    </r>
    <r>
      <rPr>
        <sz val="11"/>
        <color theme="1"/>
        <rFont val="Calibri"/>
        <family val="2"/>
        <charset val="1"/>
      </rPr>
      <t xml:space="preserve">= A </t>
    </r>
    <r>
      <rPr>
        <sz val="11"/>
        <color theme="1"/>
        <rFont val="DejaVu Sans"/>
        <family val="2"/>
      </rPr>
      <t xml:space="preserve">公允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当前 </t>
    </r>
    <r>
      <rPr>
        <sz val="11"/>
        <color theme="1"/>
        <rFont val="Calibri"/>
        <family val="2"/>
        <charset val="1"/>
      </rPr>
      <t xml:space="preserve">- 1)</t>
    </r>
  </si>
  <si>
    <r>
      <rPr>
        <sz val="11"/>
        <color theme="1"/>
        <rFont val="Calibri"/>
        <family val="2"/>
        <charset val="1"/>
      </rPr>
      <t xml:space="preserve">L (</t>
    </r>
    <r>
      <rPr>
        <sz val="11"/>
        <color theme="1"/>
        <rFont val="DejaVu Sans"/>
        <family val="2"/>
      </rPr>
      <t xml:space="preserve">加权输的损失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</si>
  <si>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Kelly </t>
    </r>
    <r>
      <rPr>
        <sz val="11"/>
        <color theme="1"/>
        <rFont val="DejaVu Sans"/>
        <family val="2"/>
      </rPr>
      <t xml:space="preserve">比例</t>
    </r>
  </si>
  <si>
    <r>
      <rPr>
        <sz val="11"/>
        <color theme="1"/>
        <rFont val="Calibri"/>
        <family val="2"/>
        <charset val="1"/>
      </rPr>
      <t xml:space="preserve">Kelly </t>
    </r>
    <r>
      <rPr>
        <sz val="11"/>
        <color theme="1"/>
        <rFont val="DejaVu Sans"/>
        <family val="2"/>
      </rPr>
      <t xml:space="preserve">解读</t>
    </r>
  </si>
  <si>
    <r>
      <rPr>
        <i val="true"/>
        <sz val="11"/>
        <color rgb="FF808080"/>
        <rFont val="DejaVu Sans"/>
        <family val="2"/>
      </rPr>
      <t xml:space="preserve">建议</t>
    </r>
    <r>
      <rPr>
        <i val="true"/>
        <sz val="11"/>
        <color rgb="FF808080"/>
        <rFont val="DejaVu Sans"/>
        <family val="2"/>
        <charset val="1"/>
      </rPr>
      <t xml:space="preserve">: </t>
    </r>
    <r>
      <rPr>
        <i val="true"/>
        <sz val="11"/>
        <color rgb="FF808080"/>
        <rFont val="DejaVu Sans"/>
        <family val="2"/>
      </rPr>
      <t xml:space="preserve">实际仓位用半 </t>
    </r>
    <r>
      <rPr>
        <i val="true"/>
        <sz val="11"/>
        <color rgb="FF808080"/>
        <rFont val="DejaVu Sans"/>
        <family val="2"/>
        <charset val="1"/>
      </rPr>
      <t xml:space="preserve">Kelly (× 0.5) </t>
    </r>
    <r>
      <rPr>
        <i val="true"/>
        <sz val="11"/>
        <color rgb="FF808080"/>
        <rFont val="DejaVu Sans"/>
        <family val="2"/>
      </rPr>
      <t xml:space="preserve">以减少波动</t>
    </r>
  </si>
  <si>
    <r>
      <rPr>
        <sz val="11"/>
        <color theme="1"/>
        <rFont val="DejaVu Sans"/>
        <family val="2"/>
      </rPr>
      <t xml:space="preserve">保守仓位（半 </t>
    </r>
    <r>
      <rPr>
        <sz val="11"/>
        <color theme="1"/>
        <rFont val="DejaVu Sans"/>
        <family val="2"/>
        <charset val="1"/>
      </rPr>
      <t xml:space="preserve">Kelly</t>
    </r>
    <r>
      <rPr>
        <sz val="11"/>
        <color theme="1"/>
        <rFont val="DejaVu Sans"/>
        <family val="2"/>
      </rPr>
      <t xml:space="preserve">）</t>
    </r>
  </si>
  <si>
    <t xml:space="preserve">七、概率跟踪日志（每月或重大事件后更新）</t>
  </si>
  <si>
    <r>
      <rPr>
        <i val="true"/>
        <sz val="11"/>
        <color rgb="FF808080"/>
        <rFont val="DejaVu Sans"/>
        <family val="2"/>
      </rPr>
      <t xml:space="preserve">通过事件驱动概率更新</t>
    </r>
    <r>
      <rPr>
        <i val="true"/>
        <sz val="11"/>
        <color rgb="FF808080"/>
        <rFont val="DejaVu Sans"/>
        <family val="2"/>
        <charset val="1"/>
      </rPr>
      <t xml:space="preserve">; </t>
    </r>
    <r>
      <rPr>
        <i val="true"/>
        <sz val="11"/>
        <color rgb="FF808080"/>
        <rFont val="DejaVu Sans"/>
        <family val="2"/>
      </rPr>
      <t xml:space="preserve">不要每天</t>
    </r>
    <r>
      <rPr>
        <i val="true"/>
        <sz val="11"/>
        <color rgb="FF808080"/>
        <rFont val="DejaVu Sans"/>
        <family val="2"/>
        <charset val="1"/>
      </rPr>
      <t xml:space="preserve">/</t>
    </r>
    <r>
      <rPr>
        <i val="true"/>
        <sz val="11"/>
        <color rgb="FF808080"/>
        <rFont val="DejaVu Sans"/>
        <family val="2"/>
      </rPr>
      <t xml:space="preserve">每周看价格然后改概率</t>
    </r>
  </si>
  <si>
    <t xml:space="preserve">触发事件</t>
  </si>
  <si>
    <r>
      <rPr>
        <b val="true"/>
        <sz val="11"/>
        <rFont val="DejaVu Sans"/>
        <family val="2"/>
      </rPr>
      <t xml:space="preserve">原 </t>
    </r>
    <r>
      <rPr>
        <b val="true"/>
        <sz val="11"/>
        <rFont val="DejaVu Sans"/>
        <family val="2"/>
        <charset val="1"/>
      </rPr>
      <t xml:space="preserve">P(A)</t>
    </r>
  </si>
  <si>
    <r>
      <rPr>
        <b val="true"/>
        <sz val="11"/>
        <rFont val="DejaVu Sans"/>
        <family val="2"/>
      </rPr>
      <t xml:space="preserve">新 </t>
    </r>
    <r>
      <rPr>
        <b val="true"/>
        <sz val="11"/>
        <rFont val="DejaVu Sans"/>
        <family val="2"/>
        <charset val="1"/>
      </rPr>
      <t xml:space="preserve">P(A)</t>
    </r>
  </si>
  <si>
    <t xml:space="preserve">调整逻辑</t>
  </si>
  <si>
    <t xml:space="preserve">决策变化</t>
  </si>
  <si>
    <r>
      <rPr>
        <sz val="11"/>
        <color theme="1"/>
        <rFont val="DejaVu Sans"/>
        <family val="2"/>
      </rPr>
      <t xml:space="preserve">建立基线</t>
    </r>
    <r>
      <rPr>
        <sz val="11"/>
        <color theme="1"/>
        <rFont val="DejaVu Sans"/>
        <family val="2"/>
        <charset val="1"/>
      </rPr>
      <t xml:space="preserve">: </t>
    </r>
    <r>
      <rPr>
        <sz val="11"/>
        <color theme="1"/>
        <rFont val="DejaVu Sans"/>
        <family val="2"/>
      </rPr>
      <t xml:space="preserve">基于 </t>
    </r>
    <r>
      <rPr>
        <sz val="11"/>
        <color theme="1"/>
        <rFont val="DejaVu Sans"/>
        <family val="2"/>
        <charset val="1"/>
      </rPr>
      <t xml:space="preserve">V14.3 + Robotaxi 3 </t>
    </r>
    <r>
      <rPr>
        <sz val="11"/>
        <color theme="1"/>
        <rFont val="DejaVu Sans"/>
        <family val="2"/>
      </rPr>
      <t xml:space="preserve">城 </t>
    </r>
    <r>
      <rPr>
        <sz val="11"/>
        <color theme="1"/>
        <rFont val="DejaVu Sans"/>
        <family val="2"/>
        <charset val="1"/>
      </rPr>
      <t xml:space="preserve">+ Musk 10 </t>
    </r>
    <r>
      <rPr>
        <sz val="11"/>
        <color theme="1"/>
        <rFont val="DejaVu Sans"/>
        <family val="2"/>
      </rPr>
      <t xml:space="preserve">年延期</t>
    </r>
  </si>
  <si>
    <r>
      <rPr>
        <sz val="11"/>
        <color theme="1"/>
        <rFont val="Calibri"/>
        <family val="2"/>
        <charset val="1"/>
      </rPr>
      <t xml:space="preserve">Tesla </t>
    </r>
    <r>
      <rPr>
        <sz val="11"/>
        <color theme="1"/>
        <rFont val="DejaVu Sans"/>
        <family val="2"/>
      </rPr>
      <t xml:space="preserve">落后 </t>
    </r>
    <r>
      <rPr>
        <sz val="11"/>
        <color theme="1"/>
        <rFont val="Calibri"/>
        <family val="2"/>
        <charset val="1"/>
      </rPr>
      <t xml:space="preserve">Waymo 10x; Musk 10 </t>
    </r>
    <r>
      <rPr>
        <sz val="11"/>
        <color theme="1"/>
        <rFont val="DejaVu Sans"/>
        <family val="2"/>
      </rPr>
      <t xml:space="preserve">年延期记录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DejaVu Sans"/>
        <family val="2"/>
      </rPr>
      <t xml:space="preserve">监管 </t>
    </r>
    <r>
      <rPr>
        <sz val="11"/>
        <color theme="1"/>
        <rFont val="Calibri"/>
        <family val="2"/>
        <charset val="1"/>
      </rPr>
      <t xml:space="preserve">patchwork</t>
    </r>
  </si>
  <si>
    <r>
      <rPr>
        <sz val="11"/>
        <color theme="1"/>
        <rFont val="DejaVu Sans"/>
        <family val="2"/>
      </rPr>
      <t xml:space="preserve">初次评估</t>
    </r>
    <r>
      <rPr>
        <sz val="11"/>
        <color theme="1"/>
        <rFont val="DejaVu Sans"/>
        <family val="2"/>
        <charset val="1"/>
      </rPr>
      <t xml:space="preserve">: -EV, </t>
    </r>
    <r>
      <rPr>
        <sz val="11"/>
        <color theme="1"/>
        <rFont val="DejaVu Sans"/>
        <family val="2"/>
      </rPr>
      <t xml:space="preserve">不主动买入</t>
    </r>
  </si>
  <si>
    <t xml:space="preserve">八、决策触发器（自动监控信号）</t>
  </si>
  <si>
    <r>
      <rPr>
        <b val="true"/>
        <sz val="12"/>
        <rFont val="DejaVu Sans"/>
        <family val="2"/>
      </rPr>
      <t xml:space="preserve">八、价格决策矩阵</t>
    </r>
    <r>
      <rPr>
        <b val="true"/>
        <sz val="12"/>
        <rFont val="DejaVu Sans"/>
        <family val="2"/>
        <charset val="1"/>
      </rPr>
      <t xml:space="preserve">(</t>
    </r>
    <r>
      <rPr>
        <b val="true"/>
        <sz val="12"/>
        <rFont val="DejaVu Sans"/>
        <family val="2"/>
      </rPr>
      <t xml:space="preserve">基于 </t>
    </r>
    <r>
      <rPr>
        <b val="true"/>
        <sz val="12"/>
        <rFont val="DejaVu Sans"/>
        <family val="2"/>
        <charset val="1"/>
      </rPr>
      <t xml:space="preserve">gap </t>
    </r>
    <r>
      <rPr>
        <b val="true"/>
        <sz val="12"/>
        <rFont val="DejaVu Sans"/>
        <family val="2"/>
      </rPr>
      <t xml:space="preserve">逻辑</t>
    </r>
    <r>
      <rPr>
        <b val="true"/>
        <sz val="12"/>
        <rFont val="DejaVu Sans"/>
        <family val="2"/>
        <charset val="1"/>
      </rPr>
      <t xml:space="preserve">,</t>
    </r>
    <r>
      <rPr>
        <b val="true"/>
        <sz val="12"/>
        <rFont val="DejaVu Sans"/>
        <family val="2"/>
      </rPr>
      <t xml:space="preserve">与 </t>
    </r>
    <r>
      <rPr>
        <b val="true"/>
        <sz val="12"/>
        <rFont val="DejaVu Sans"/>
        <family val="2"/>
        <charset val="1"/>
      </rPr>
      <t xml:space="preserve">Section </t>
    </r>
    <r>
      <rPr>
        <b val="true"/>
        <sz val="12"/>
        <rFont val="DejaVu Sans"/>
        <family val="2"/>
      </rPr>
      <t xml:space="preserve">三 一致</t>
    </r>
    <r>
      <rPr>
        <b val="true"/>
        <sz val="12"/>
        <rFont val="DejaVu Sans"/>
        <family val="2"/>
        <charset val="1"/>
      </rPr>
      <t xml:space="preserve">)</t>
    </r>
  </si>
  <si>
    <r>
      <rPr>
        <b val="true"/>
        <sz val="11"/>
        <rFont val="DejaVu Sans"/>
        <family val="2"/>
      </rPr>
      <t xml:space="preserve">关键价格阈值</t>
    </r>
    <r>
      <rPr>
        <b val="true"/>
        <sz val="11"/>
        <rFont val="DejaVu Sans"/>
        <family val="2"/>
        <charset val="1"/>
      </rPr>
      <t xml:space="preserve">(</t>
    </r>
    <r>
      <rPr>
        <b val="true"/>
        <sz val="11"/>
        <rFont val="DejaVu Sans"/>
        <family val="2"/>
      </rPr>
      <t xml:space="preserve">给定我的 </t>
    </r>
    <r>
      <rPr>
        <b val="true"/>
        <sz val="11"/>
        <rFont val="DejaVu Sans"/>
        <family val="2"/>
        <charset val="1"/>
      </rPr>
      <t xml:space="preserve">P(A) = 40%)</t>
    </r>
  </si>
  <si>
    <r>
      <rPr>
        <b val="true"/>
        <sz val="11"/>
        <rFont val="Cambria"/>
        <family val="0"/>
        <charset val="1"/>
      </rPr>
      <t xml:space="preserve">Gap </t>
    </r>
    <r>
      <rPr>
        <b val="true"/>
        <sz val="11"/>
        <rFont val="DejaVu Sans"/>
        <family val="2"/>
      </rPr>
      <t xml:space="preserve">边界</t>
    </r>
  </si>
  <si>
    <r>
      <rPr>
        <b val="true"/>
        <sz val="11"/>
        <rFont val="DejaVu Sans"/>
        <family val="2"/>
      </rPr>
      <t xml:space="preserve">对应 </t>
    </r>
    <r>
      <rPr>
        <b val="true"/>
        <sz val="11"/>
        <rFont val="DejaVu Sans"/>
        <family val="2"/>
        <charset val="1"/>
      </rPr>
      <t xml:space="preserve">Break-even P(A)</t>
    </r>
  </si>
  <si>
    <t xml:space="preserve">对应价格</t>
  </si>
  <si>
    <t xml:space="preserve">Zone</t>
  </si>
  <si>
    <t xml:space="preserve">Gap +10pp</t>
  </si>
  <si>
    <t xml:space="preserve">⭐⭐ 强买入区上限</t>
  </si>
  <si>
    <t xml:space="preserve">Gap +5pp</t>
  </si>
  <si>
    <t xml:space="preserve">⭐ 买入区上限</t>
  </si>
  <si>
    <t xml:space="preserve">Gap 0</t>
  </si>
  <si>
    <r>
      <rPr>
        <sz val="11"/>
        <color theme="1"/>
        <rFont val="DejaVu Sans"/>
        <family val="2"/>
      </rPr>
      <t xml:space="preserve">✅ 公允价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边际买入↑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警惕↓</t>
    </r>
    <r>
      <rPr>
        <sz val="11"/>
        <color theme="1"/>
        <rFont val="DejaVu Sans"/>
        <family val="2"/>
        <charset val="1"/>
      </rPr>
      <t xml:space="preserve">)</t>
    </r>
  </si>
  <si>
    <t xml:space="preserve">Gap -5pp</t>
  </si>
  <si>
    <t xml:space="preserve">⚠️ 警惕区上限</t>
  </si>
  <si>
    <t xml:space="preserve">Gap -15pp</t>
  </si>
  <si>
    <r>
      <rPr>
        <sz val="11"/>
        <color theme="1"/>
        <rFont val="DejaVu Sans"/>
        <family val="2"/>
      </rPr>
      <t xml:space="preserve">❌ 避免区上限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强避免上方</t>
    </r>
    <r>
      <rPr>
        <sz val="11"/>
        <color theme="1"/>
        <rFont val="DejaVu Sans"/>
        <family val="2"/>
        <charset val="1"/>
      </rPr>
      <t xml:space="preserve">)</t>
    </r>
  </si>
  <si>
    <r>
      <rPr>
        <b val="true"/>
        <sz val="11"/>
        <rFont val="DejaVu Sans"/>
        <family val="2"/>
      </rPr>
      <t xml:space="preserve">价格 </t>
    </r>
    <r>
      <rPr>
        <b val="true"/>
        <sz val="11"/>
        <rFont val="DejaVu Sans"/>
        <family val="2"/>
        <charset val="1"/>
      </rPr>
      <t xml:space="preserve">zones(</t>
    </r>
    <r>
      <rPr>
        <b val="true"/>
        <sz val="11"/>
        <rFont val="DejaVu Sans"/>
        <family val="2"/>
      </rPr>
      <t xml:space="preserve">连续的</t>
    </r>
    <r>
      <rPr>
        <b val="true"/>
        <sz val="11"/>
        <rFont val="DejaVu Sans"/>
        <family val="2"/>
        <charset val="1"/>
      </rPr>
      <t xml:space="preserve">,</t>
    </r>
    <r>
      <rPr>
        <b val="true"/>
        <sz val="11"/>
        <rFont val="DejaVu Sans"/>
        <family val="2"/>
      </rPr>
      <t xml:space="preserve">无 </t>
    </r>
    <r>
      <rPr>
        <b val="true"/>
        <sz val="11"/>
        <rFont val="DejaVu Sans"/>
        <family val="2"/>
        <charset val="1"/>
      </rPr>
      <t xml:space="preserve">gap):</t>
    </r>
  </si>
  <si>
    <r>
      <rPr>
        <sz val="11"/>
        <color theme="1"/>
        <rFont val="Calibri"/>
        <family val="2"/>
        <charset val="1"/>
      </rPr>
      <t xml:space="preserve">&lt; D103 = </t>
    </r>
    <r>
      <rPr>
        <sz val="11"/>
        <color theme="1"/>
        <rFont val="DejaVu Sans"/>
        <family val="2"/>
      </rPr>
      <t xml:space="preserve">强买入区</t>
    </r>
    <r>
      <rPr>
        <sz val="11"/>
        <color theme="1"/>
        <rFont val="Calibri"/>
        <family val="2"/>
        <charset val="1"/>
      </rPr>
      <t xml:space="preserve">(Gap &gt; +10pp,</t>
    </r>
    <r>
      <rPr>
        <sz val="11"/>
        <color theme="1"/>
        <rFont val="DejaVu Sans"/>
        <family val="2"/>
      </rPr>
      <t xml:space="preserve">公允的 </t>
    </r>
    <r>
      <rPr>
        <sz val="11"/>
        <color theme="1"/>
        <rFont val="Calibri"/>
        <family val="2"/>
        <charset val="1"/>
      </rPr>
      <t xml:space="preserve">~8% </t>
    </r>
    <r>
      <rPr>
        <sz val="11"/>
        <color theme="1"/>
        <rFont val="DejaVu Sans"/>
        <family val="2"/>
      </rPr>
      <t xml:space="preserve">折扣以下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</si>
  <si>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D103 </t>
    </r>
    <r>
      <rPr>
        <sz val="11"/>
        <color theme="1"/>
        <rFont val="DejaVu Sans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D104 = </t>
    </r>
    <r>
      <rPr>
        <sz val="11"/>
        <color theme="1"/>
        <rFont val="DejaVu Sans"/>
        <family val="2"/>
      </rPr>
      <t xml:space="preserve">买入区</t>
    </r>
    <r>
      <rPr>
        <sz val="11"/>
        <color theme="1"/>
        <rFont val="Calibri"/>
        <family val="2"/>
        <charset val="1"/>
      </rPr>
      <t xml:space="preserve">(Gap +5pp </t>
    </r>
    <r>
      <rPr>
        <sz val="11"/>
        <color theme="1"/>
        <rFont val="DejaVu Sans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+10pp)</t>
    </r>
  </si>
  <si>
    <r>
      <rPr>
        <sz val="11"/>
        <color theme="1"/>
        <rFont val="Calibri"/>
        <family val="2"/>
        <charset val="1"/>
      </rPr>
      <t xml:space="preserve">D104 </t>
    </r>
    <r>
      <rPr>
        <sz val="11"/>
        <color theme="1"/>
        <rFont val="DejaVu Sans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D105 = </t>
    </r>
    <r>
      <rPr>
        <sz val="11"/>
        <color theme="1"/>
        <rFont val="DejaVu Sans"/>
        <family val="2"/>
      </rPr>
      <t xml:space="preserve">边际买入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公允区</t>
    </r>
    <r>
      <rPr>
        <sz val="11"/>
        <color theme="1"/>
        <rFont val="Calibri"/>
        <family val="2"/>
        <charset val="1"/>
      </rPr>
      <t xml:space="preserve">(Gap 0 </t>
    </r>
    <r>
      <rPr>
        <sz val="11"/>
        <color theme="1"/>
        <rFont val="DejaVu Sans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+5pp)</t>
    </r>
  </si>
  <si>
    <r>
      <rPr>
        <sz val="11"/>
        <color theme="1"/>
        <rFont val="Calibri"/>
        <family val="2"/>
        <charset val="1"/>
      </rPr>
      <t xml:space="preserve">D105 </t>
    </r>
    <r>
      <rPr>
        <sz val="11"/>
        <color theme="1"/>
        <rFont val="DejaVu Sans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D106 = </t>
    </r>
    <r>
      <rPr>
        <sz val="11"/>
        <color theme="1"/>
        <rFont val="DejaVu Sans"/>
        <family val="2"/>
      </rPr>
      <t xml:space="preserve">警惕区</t>
    </r>
    <r>
      <rPr>
        <sz val="11"/>
        <color theme="1"/>
        <rFont val="Calibri"/>
        <family val="2"/>
        <charset val="1"/>
      </rPr>
      <t xml:space="preserve">(Gap 0 </t>
    </r>
    <r>
      <rPr>
        <sz val="11"/>
        <color theme="1"/>
        <rFont val="DejaVu Sans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-5pp)</t>
    </r>
  </si>
  <si>
    <r>
      <rPr>
        <sz val="11"/>
        <color theme="1"/>
        <rFont val="Calibri"/>
        <family val="2"/>
        <charset val="1"/>
      </rPr>
      <t xml:space="preserve">D106 </t>
    </r>
    <r>
      <rPr>
        <sz val="11"/>
        <color theme="1"/>
        <rFont val="DejaVu Sans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D107 = </t>
    </r>
    <r>
      <rPr>
        <sz val="11"/>
        <color theme="1"/>
        <rFont val="DejaVu Sans"/>
        <family val="2"/>
      </rPr>
      <t xml:space="preserve">避免区</t>
    </r>
    <r>
      <rPr>
        <sz val="11"/>
        <color theme="1"/>
        <rFont val="Calibri"/>
        <family val="2"/>
        <charset val="1"/>
      </rPr>
      <t xml:space="preserve">(Gap -5pp </t>
    </r>
    <r>
      <rPr>
        <sz val="11"/>
        <color theme="1"/>
        <rFont val="DejaVu Sans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-15pp)</t>
    </r>
  </si>
  <si>
    <r>
      <rPr>
        <sz val="11"/>
        <color theme="1"/>
        <rFont val="Calibri"/>
        <family val="2"/>
        <charset val="1"/>
      </rPr>
      <t xml:space="preserve">&gt; D107 = </t>
    </r>
    <r>
      <rPr>
        <sz val="11"/>
        <color theme="1"/>
        <rFont val="DejaVu Sans"/>
        <family val="2"/>
      </rPr>
      <t xml:space="preserve">强避免区</t>
    </r>
    <r>
      <rPr>
        <sz val="11"/>
        <color theme="1"/>
        <rFont val="Calibri"/>
        <family val="2"/>
        <charset val="1"/>
      </rPr>
      <t xml:space="preserve">(Gap &lt; -15pp)</t>
    </r>
  </si>
  <si>
    <r>
      <rPr>
        <b val="true"/>
        <sz val="12"/>
        <rFont val="DejaVu Sans"/>
        <family val="2"/>
      </rPr>
      <t xml:space="preserve">九、事件触发器</t>
    </r>
    <r>
      <rPr>
        <b val="true"/>
        <sz val="12"/>
        <rFont val="DejaVu Sans"/>
        <family val="2"/>
        <charset val="1"/>
      </rPr>
      <t xml:space="preserve">(</t>
    </r>
    <r>
      <rPr>
        <b val="true"/>
        <sz val="12"/>
        <rFont val="DejaVu Sans"/>
        <family val="2"/>
      </rPr>
      <t xml:space="preserve">更新 </t>
    </r>
    <r>
      <rPr>
        <b val="true"/>
        <sz val="12"/>
        <rFont val="DejaVu Sans"/>
        <family val="2"/>
        <charset val="1"/>
      </rPr>
      <t xml:space="preserve">P(A))</t>
    </r>
  </si>
  <si>
    <r>
      <rPr>
        <sz val="11"/>
        <color theme="1"/>
        <rFont val="Calibri"/>
        <family val="2"/>
        <charset val="1"/>
      </rPr>
      <t xml:space="preserve">+5pp </t>
    </r>
    <r>
      <rPr>
        <sz val="11"/>
        <color theme="1"/>
        <rFont val="DejaVu Sans"/>
        <family val="2"/>
      </rPr>
      <t xml:space="preserve">上调</t>
    </r>
  </si>
  <si>
    <r>
      <rPr>
        <sz val="11"/>
        <color theme="1"/>
        <rFont val="Calibri"/>
        <family val="2"/>
        <charset val="1"/>
      </rPr>
      <t xml:space="preserve">FSD </t>
    </r>
    <r>
      <rPr>
        <sz val="11"/>
        <color theme="1"/>
        <rFont val="DejaVu Sans"/>
        <family val="2"/>
      </rPr>
      <t xml:space="preserve">关键脱离率 </t>
    </r>
    <r>
      <rPr>
        <sz val="11"/>
        <color theme="1"/>
        <rFont val="Calibri"/>
        <family val="2"/>
        <charset val="1"/>
      </rPr>
      <t xml:space="preserve">&gt; 5,000 </t>
    </r>
    <r>
      <rPr>
        <sz val="11"/>
        <color theme="1"/>
        <rFont val="DejaVu Sans"/>
        <family val="2"/>
      </rPr>
      <t xml:space="preserve">英里</t>
    </r>
  </si>
  <si>
    <r>
      <rPr>
        <sz val="11"/>
        <color theme="1"/>
        <rFont val="DejaVu Sans"/>
        <family val="2"/>
      </rPr>
      <t xml:space="preserve">中国 </t>
    </r>
    <r>
      <rPr>
        <sz val="11"/>
        <color theme="1"/>
        <rFont val="DejaVu Sans"/>
        <family val="2"/>
        <charset val="1"/>
      </rPr>
      <t xml:space="preserve">FSD </t>
    </r>
    <r>
      <rPr>
        <sz val="11"/>
        <color theme="1"/>
        <rFont val="DejaVu Sans"/>
        <family val="2"/>
      </rPr>
      <t xml:space="preserve">监管批准</t>
    </r>
  </si>
  <si>
    <r>
      <rPr>
        <sz val="11"/>
        <color theme="1"/>
        <rFont val="Calibri"/>
        <family val="2"/>
        <charset val="1"/>
      </rPr>
      <t xml:space="preserve">Tesla Robotaxi </t>
    </r>
    <r>
      <rPr>
        <sz val="11"/>
        <color theme="1"/>
        <rFont val="DejaVu Sans"/>
        <family val="2"/>
      </rPr>
      <t xml:space="preserve">移除远程操作员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真正 </t>
    </r>
    <r>
      <rPr>
        <sz val="11"/>
        <color theme="1"/>
        <rFont val="Calibri"/>
        <family val="2"/>
        <charset val="1"/>
      </rPr>
      <t xml:space="preserve">L4)</t>
    </r>
  </si>
  <si>
    <r>
      <rPr>
        <sz val="11"/>
        <color theme="1"/>
        <rFont val="Calibri"/>
        <family val="2"/>
        <charset val="1"/>
      </rPr>
      <t xml:space="preserve">+3pp </t>
    </r>
    <r>
      <rPr>
        <sz val="11"/>
        <color theme="1"/>
        <rFont val="DejaVu Sans"/>
        <family val="2"/>
      </rPr>
      <t xml:space="preserve">上调</t>
    </r>
  </si>
  <si>
    <r>
      <rPr>
        <sz val="11"/>
        <color theme="1"/>
        <rFont val="DejaVu Sans"/>
        <family val="2"/>
      </rPr>
      <t xml:space="preserve">新城市 </t>
    </r>
    <r>
      <rPr>
        <sz val="11"/>
        <color theme="1"/>
        <rFont val="DejaVu Sans"/>
        <family val="2"/>
        <charset val="1"/>
      </rPr>
      <t xml:space="preserve">Robotaxi </t>
    </r>
    <r>
      <rPr>
        <sz val="11"/>
        <color theme="1"/>
        <rFont val="DejaVu Sans"/>
        <family val="2"/>
      </rPr>
      <t xml:space="preserve">上线无重大事故 </t>
    </r>
    <r>
      <rPr>
        <sz val="11"/>
        <color theme="1"/>
        <rFont val="DejaVu Sans"/>
        <family val="2"/>
        <charset val="1"/>
      </rPr>
      <t xml:space="preserve">12 </t>
    </r>
    <r>
      <rPr>
        <sz val="11"/>
        <color theme="1"/>
        <rFont val="DejaVu Sans"/>
        <family val="2"/>
      </rPr>
      <t xml:space="preserve">个月</t>
    </r>
  </si>
  <si>
    <r>
      <rPr>
        <sz val="11"/>
        <color theme="1"/>
        <rFont val="DejaVu Sans"/>
        <family val="2"/>
      </rPr>
      <t xml:space="preserve">美国联邦 </t>
    </r>
    <r>
      <rPr>
        <sz val="11"/>
        <color theme="1"/>
        <rFont val="DejaVu Sans"/>
        <family val="2"/>
        <charset val="1"/>
      </rPr>
      <t xml:space="preserve">AV </t>
    </r>
    <r>
      <rPr>
        <sz val="11"/>
        <color theme="1"/>
        <rFont val="DejaVu Sans"/>
        <family val="2"/>
      </rPr>
      <t xml:space="preserve">立法通过</t>
    </r>
  </si>
  <si>
    <r>
      <rPr>
        <sz val="11"/>
        <color theme="1"/>
        <rFont val="Calibri"/>
        <family val="2"/>
        <charset val="1"/>
      </rPr>
      <t xml:space="preserve">-10pp </t>
    </r>
    <r>
      <rPr>
        <sz val="11"/>
        <color theme="1"/>
        <rFont val="DejaVu Sans"/>
        <family val="2"/>
      </rPr>
      <t xml:space="preserve">下调</t>
    </r>
  </si>
  <si>
    <r>
      <rPr>
        <sz val="11"/>
        <color theme="1"/>
        <rFont val="Calibri"/>
        <family val="2"/>
        <charset val="1"/>
      </rPr>
      <t xml:space="preserve">Robotaxi </t>
    </r>
    <r>
      <rPr>
        <sz val="11"/>
        <color theme="1"/>
        <rFont val="DejaVu Sans"/>
        <family val="2"/>
      </rPr>
      <t xml:space="preserve">重大致命事故</t>
    </r>
  </si>
  <si>
    <r>
      <rPr>
        <sz val="11"/>
        <color theme="1"/>
        <rFont val="Calibri"/>
        <family val="2"/>
        <charset val="1"/>
      </rPr>
      <t xml:space="preserve">-5pp </t>
    </r>
    <r>
      <rPr>
        <sz val="11"/>
        <color theme="1"/>
        <rFont val="DejaVu Sans"/>
        <family val="2"/>
      </rPr>
      <t xml:space="preserve">下调</t>
    </r>
  </si>
  <si>
    <r>
      <rPr>
        <sz val="11"/>
        <color theme="1"/>
        <rFont val="DejaVu Sans"/>
        <family val="2"/>
      </rPr>
      <t xml:space="preserve">中国监管延期超 </t>
    </r>
    <r>
      <rPr>
        <sz val="11"/>
        <color theme="1"/>
        <rFont val="DejaVu Sans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</si>
  <si>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NHTSA </t>
    </r>
    <r>
      <rPr>
        <sz val="11"/>
        <color theme="1"/>
        <rFont val="DejaVu Sans"/>
        <family val="2"/>
      </rPr>
      <t xml:space="preserve">召回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限制 </t>
    </r>
    <r>
      <rPr>
        <sz val="11"/>
        <color theme="1"/>
        <rFont val="Calibri"/>
        <family val="2"/>
        <charset val="1"/>
      </rPr>
      <t xml:space="preserve">FSD</t>
    </r>
  </si>
  <si>
    <r>
      <rPr>
        <sz val="11"/>
        <color theme="1"/>
        <rFont val="DejaVu Sans"/>
        <family val="2"/>
      </rPr>
      <t xml:space="preserve">反垄断强制开放 </t>
    </r>
    <r>
      <rPr>
        <sz val="11"/>
        <color theme="1"/>
        <rFont val="DejaVu Sans"/>
        <family val="2"/>
        <charset val="1"/>
      </rPr>
      <t xml:space="preserve">FSD </t>
    </r>
    <r>
      <rPr>
        <sz val="11"/>
        <color theme="1"/>
        <rFont val="DejaVu Sans"/>
        <family val="2"/>
      </rPr>
      <t xml:space="preserve">给其他车企</t>
    </r>
  </si>
  <si>
    <r>
      <rPr>
        <sz val="11"/>
        <color theme="1"/>
        <rFont val="Calibri"/>
        <family val="2"/>
        <charset val="1"/>
      </rPr>
      <t xml:space="preserve">-3pp </t>
    </r>
    <r>
      <rPr>
        <sz val="11"/>
        <color theme="1"/>
        <rFont val="DejaVu Sans"/>
        <family val="2"/>
      </rPr>
      <t xml:space="preserve">下调</t>
    </r>
  </si>
  <si>
    <r>
      <rPr>
        <sz val="11"/>
        <color theme="1"/>
        <rFont val="Calibri"/>
        <family val="2"/>
        <charset val="1"/>
      </rPr>
      <t xml:space="preserve">V15 </t>
    </r>
    <r>
      <rPr>
        <sz val="11"/>
        <color theme="1"/>
        <rFont val="DejaVu Sans"/>
        <family val="2"/>
      </rPr>
      <t xml:space="preserve">改进 </t>
    </r>
    <r>
      <rPr>
        <sz val="11"/>
        <color theme="1"/>
        <rFont val="Calibri"/>
        <family val="2"/>
        <charset val="1"/>
      </rPr>
      <t xml:space="preserve">&lt; 2x(</t>
    </r>
    <r>
      <rPr>
        <sz val="11"/>
        <color theme="1"/>
        <rFont val="DejaVu Sans"/>
        <family val="2"/>
      </rPr>
      <t xml:space="preserve">技术减速</t>
    </r>
    <r>
      <rPr>
        <sz val="11"/>
        <color theme="1"/>
        <rFont val="Calibri"/>
        <family val="2"/>
        <charset val="1"/>
      </rPr>
      <t xml:space="preserve">)</t>
    </r>
  </si>
  <si>
    <t xml:space="preserve">十、使用方法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</si>
  <si>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DejaVu Sans"/>
        <family val="2"/>
      </rPr>
      <t xml:space="preserve">每月一次 — 查看 </t>
    </r>
    <r>
      <rPr>
        <sz val="11"/>
        <color theme="1"/>
        <rFont val="Calibri"/>
        <family val="2"/>
        <charset val="1"/>
      </rPr>
      <t xml:space="preserve">D109 </t>
    </r>
    <r>
      <rPr>
        <sz val="11"/>
        <color theme="1"/>
        <rFont val="DejaVu Sans"/>
        <family val="2"/>
      </rPr>
      <t xml:space="preserve">当前价 </t>
    </r>
    <r>
      <rPr>
        <sz val="11"/>
        <color theme="1"/>
        <rFont val="Calibri"/>
        <family val="2"/>
        <charset val="1"/>
      </rPr>
      <t xml:space="preserve">zone </t>
    </r>
    <r>
      <rPr>
        <sz val="11"/>
        <color theme="1"/>
        <rFont val="DejaVu Sans"/>
        <family val="2"/>
      </rPr>
      <t xml:space="preserve">是否变化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</si>
  <si>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DejaVu Sans"/>
        <family val="2"/>
      </rPr>
      <t xml:space="preserve">重大事件 → 更新 </t>
    </r>
    <r>
      <rPr>
        <sz val="11"/>
        <color theme="1"/>
        <rFont val="Calibri"/>
        <family val="2"/>
        <charset val="1"/>
      </rPr>
      <t xml:space="preserve">C13 (</t>
    </r>
    <r>
      <rPr>
        <sz val="11"/>
        <color theme="1"/>
        <rFont val="DejaVu Sans"/>
        <family val="2"/>
      </rPr>
      <t xml:space="preserve">我的 </t>
    </r>
    <r>
      <rPr>
        <sz val="11"/>
        <color theme="1"/>
        <rFont val="Calibri"/>
        <family val="2"/>
        <charset val="1"/>
      </rPr>
      <t xml:space="preserve">P(A)) → </t>
    </r>
    <r>
      <rPr>
        <sz val="11"/>
        <color theme="1"/>
        <rFont val="DejaVu Sans"/>
        <family val="2"/>
      </rPr>
      <t xml:space="preserve">所有价格阈值自动重算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</si>
  <si>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DejaVu Sans"/>
        <family val="2"/>
      </rPr>
      <t xml:space="preserve">价格在 ⭐ 买入区或以下 → 考虑建仓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</si>
  <si>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DejaVu Sans"/>
        <family val="2"/>
      </rPr>
      <t xml:space="preserve">价格在 ❌ 避免区或以上 → 不主动持有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</si>
  <si>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DejaVu Sans"/>
        <family val="2"/>
      </rPr>
      <t xml:space="preserve">概率估计不应一年内大幅波动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除非有重大事件</t>
    </r>
    <r>
      <rPr>
        <sz val="11"/>
        <color theme="1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</si>
</sst>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mbria"/>
      <family val="0"/>
      <charset val="1"/>
    </font>
    <font>
      <b val="true"/>
      <sz val="14"/>
      <color rgb="FF1F4E79"/>
      <name val="DejaVu Sans"/>
      <family val="2"/>
    </font>
    <font>
      <i val="true"/>
      <sz val="11"/>
      <color rgb="FF808080"/>
      <name val="DejaVu Sans"/>
      <family val="2"/>
    </font>
    <font>
      <i val="true"/>
      <sz val="11"/>
      <color rgb="FF808080"/>
      <name val="DejaVu Sans"/>
      <family val="2"/>
      <charset val="1"/>
    </font>
    <font>
      <b val="true"/>
      <sz val="12"/>
      <name val="DejaVu Sans"/>
      <family val="2"/>
    </font>
    <font>
      <sz val="11"/>
      <color theme="1"/>
      <name val="DejaVu Sans"/>
      <family val="2"/>
    </font>
    <font>
      <sz val="11"/>
      <color theme="1"/>
      <name val="DejaVu Sans"/>
      <family val="2"/>
      <charset val="1"/>
    </font>
    <font>
      <b val="true"/>
      <sz val="11"/>
      <color rgb="FF1F4E79"/>
      <name val="Cambria"/>
      <family val="0"/>
      <charset val="1"/>
    </font>
    <font>
      <b val="true"/>
      <sz val="12"/>
      <name val="DejaVu Sans"/>
      <family val="2"/>
      <charset val="1"/>
    </font>
    <font>
      <b val="true"/>
      <sz val="11"/>
      <name val="DejaVu Sans"/>
      <family val="2"/>
    </font>
    <font>
      <b val="true"/>
      <sz val="11"/>
      <name val="Cambria"/>
      <family val="0"/>
      <charset val="1"/>
    </font>
    <font>
      <b val="true"/>
      <sz val="11"/>
      <name val="DejaVu Sans"/>
      <family val="2"/>
      <charset val="1"/>
    </font>
    <font>
      <b val="true"/>
      <sz val="14"/>
      <name val="Cambria"/>
      <family val="0"/>
      <charset val="1"/>
    </font>
    <font>
      <b val="true"/>
      <sz val="14"/>
      <name val="DejaVu Sans"/>
      <family val="2"/>
    </font>
    <font>
      <b val="true"/>
      <sz val="11"/>
      <color rgb="FFB22222"/>
      <name val="Cambria"/>
      <family val="0"/>
      <charset val="1"/>
    </font>
    <font>
      <b val="true"/>
      <sz val="11"/>
      <color rgb="FFB22222"/>
      <name val="DejaVu Sans"/>
      <family val="2"/>
    </font>
    <font>
      <b val="true"/>
      <sz val="11"/>
      <color rgb="FF1F4E79"/>
      <name val="DejaVu Sans"/>
      <family val="2"/>
    </font>
    <font>
      <b val="true"/>
      <sz val="11"/>
      <color rgb="FF2E7D32"/>
      <name val="Cambria"/>
      <family val="0"/>
      <charset val="1"/>
    </font>
    <font>
      <b val="true"/>
      <sz val="11"/>
      <color rgb="FF2E7D32"/>
      <name val="DejaVu Sans"/>
      <family val="2"/>
    </font>
    <font>
      <b val="true"/>
      <sz val="12"/>
      <name val="Cambria"/>
      <family val="0"/>
      <charset val="1"/>
    </font>
    <font>
      <b val="true"/>
      <sz val="12"/>
      <color rgb="FF2E7D32"/>
      <name val="DejaVu Sans"/>
      <family val="2"/>
    </font>
    <font>
      <b val="true"/>
      <sz val="12"/>
      <color rgb="FF2E7D32"/>
      <name val="DejaVu Sans"/>
      <family val="2"/>
      <charset val="1"/>
    </font>
    <font>
      <b val="true"/>
      <sz val="14"/>
      <color rgb="FF2E7D32"/>
      <name val="DejaVu Sans"/>
      <family val="2"/>
    </font>
    <font>
      <b val="true"/>
      <sz val="14"/>
      <color rgb="FF2E7D32"/>
      <name val="DejaVu Sans"/>
      <family val="2"/>
      <charset val="1"/>
    </font>
    <font>
      <b val="true"/>
      <sz val="14"/>
      <color rgb="FF2E7D32"/>
      <name val="Cambria"/>
      <family val="0"/>
      <charset val="1"/>
    </font>
    <font>
      <b val="true"/>
      <sz val="12"/>
      <color rgb="FF1F4E79"/>
      <name val="DejaVu Sans"/>
      <family val="2"/>
    </font>
    <font>
      <b val="true"/>
      <sz val="12"/>
      <color rgb="FF1F4E79"/>
      <name val="DejaVu Sans"/>
      <family val="2"/>
      <charset val="1"/>
    </font>
    <font>
      <i val="true"/>
      <sz val="11"/>
      <color rgb="FF2E7D32"/>
      <name val="DejaVu Sans"/>
      <family val="2"/>
    </font>
    <font>
      <i val="true"/>
      <sz val="11"/>
      <color rgb="FF2E7D32"/>
      <name val="DejaVu San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EEBF7"/>
        <bgColor rgb="FFE8F5E9"/>
      </patternFill>
    </fill>
    <fill>
      <patternFill patternType="solid">
        <fgColor rgb="FFE0E0E0"/>
        <bgColor rgb="FFDEEBF7"/>
      </patternFill>
    </fill>
    <fill>
      <patternFill patternType="solid">
        <fgColor rgb="FFFFF2CC"/>
        <bgColor rgb="FFFFE6E6"/>
      </patternFill>
    </fill>
    <fill>
      <patternFill patternType="solid">
        <fgColor rgb="FFE8F5E9"/>
        <bgColor rgb="FFDEEBF7"/>
      </patternFill>
    </fill>
    <fill>
      <patternFill patternType="solid">
        <fgColor rgb="FFFFD966"/>
        <bgColor rgb="FFFFCC00"/>
      </patternFill>
    </fill>
    <fill>
      <patternFill patternType="solid">
        <fgColor rgb="FFFFE6E6"/>
        <bgColor rgb="FFFFF2CC"/>
      </patternFill>
    </fill>
    <fill>
      <patternFill patternType="solid">
        <fgColor rgb="FFC6EFCE"/>
        <bgColor rgb="FFDE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5E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E6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B22222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2"/>
    <col collapsed="false" customWidth="true" hidden="false" outlineLevel="0" max="3" min="3" style="1" width="15"/>
    <col collapsed="false" customWidth="true" hidden="false" outlineLevel="0" max="5" min="4" style="1" width="14"/>
    <col collapsed="false" customWidth="true" hidden="false" outlineLevel="0" max="6" min="6" style="1" width="50"/>
    <col collapsed="false" customWidth="true" hidden="false" outlineLevel="0" max="7" min="7" style="1" width="30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7" customFormat="false" ht="15" hidden="false" customHeight="true" outlineLevel="0" collapsed="false">
      <c r="B7" s="5" t="s">
        <v>3</v>
      </c>
      <c r="C7" s="6" t="n">
        <v>428</v>
      </c>
      <c r="D7" s="1" t="s">
        <v>4</v>
      </c>
    </row>
    <row r="8" customFormat="false" ht="15" hidden="false" customHeight="true" outlineLevel="0" collapsed="false">
      <c r="B8" s="5" t="s">
        <v>5</v>
      </c>
      <c r="C8" s="6" t="n">
        <v>3.538</v>
      </c>
      <c r="D8" s="1" t="s">
        <v>6</v>
      </c>
    </row>
    <row r="9" customFormat="false" ht="15" hidden="false" customHeight="true" outlineLevel="0" collapsed="false">
      <c r="B9" s="5" t="s">
        <v>7</v>
      </c>
      <c r="C9" s="1" t="n">
        <f aca="false">C7*C8</f>
        <v>1514.264</v>
      </c>
      <c r="D9" s="5" t="s">
        <v>8</v>
      </c>
    </row>
    <row r="10" customFormat="false" ht="15" hidden="false" customHeight="true" outlineLevel="0" collapsed="false">
      <c r="B10" s="5" t="s">
        <v>9</v>
      </c>
      <c r="C10" s="6" t="n">
        <v>0.1</v>
      </c>
      <c r="D10" s="5" t="s">
        <v>10</v>
      </c>
    </row>
    <row r="11" customFormat="false" ht="15" hidden="false" customHeight="true" outlineLevel="0" collapsed="false">
      <c r="B11" s="5" t="s">
        <v>11</v>
      </c>
      <c r="C11" s="6" t="n">
        <v>0.005</v>
      </c>
      <c r="D11" s="5" t="s">
        <v>12</v>
      </c>
    </row>
    <row r="12" customFormat="false" ht="15" hidden="false" customHeight="true" outlineLevel="0" collapsed="false">
      <c r="B12" s="1" t="s">
        <v>13</v>
      </c>
      <c r="C12" s="6" t="n">
        <v>1.28</v>
      </c>
      <c r="D12" s="1" t="s">
        <v>14</v>
      </c>
    </row>
    <row r="13" customFormat="false" ht="15" hidden="false" customHeight="true" outlineLevel="0" collapsed="false">
      <c r="B13" s="1" t="s">
        <v>15</v>
      </c>
      <c r="C13" s="6" t="n">
        <v>99</v>
      </c>
      <c r="D13" s="5" t="s">
        <v>16</v>
      </c>
    </row>
    <row r="16" customFormat="false" ht="15" hidden="false" customHeight="true" outlineLevel="0" collapsed="false">
      <c r="B16" s="4" t="s">
        <v>17</v>
      </c>
    </row>
    <row r="18" customFormat="false" ht="15" hidden="false" customHeight="true" outlineLevel="0" collapsed="false">
      <c r="B18" s="7" t="s">
        <v>18</v>
      </c>
      <c r="C18" s="8" t="s">
        <v>19</v>
      </c>
      <c r="D18" s="7" t="s">
        <v>20</v>
      </c>
      <c r="G18" s="7" t="s">
        <v>21</v>
      </c>
    </row>
    <row r="19" customFormat="false" ht="15" hidden="false" customHeight="true" outlineLevel="0" collapsed="false">
      <c r="B19" s="1" t="s">
        <v>22</v>
      </c>
      <c r="C19" s="1" t="n">
        <v>70.37</v>
      </c>
      <c r="D19" s="5" t="s">
        <v>23</v>
      </c>
      <c r="G19" s="1" t="s">
        <v>24</v>
      </c>
    </row>
    <row r="20" customFormat="false" ht="15" hidden="false" customHeight="true" outlineLevel="0" collapsed="false">
      <c r="B20" s="1" t="s">
        <v>25</v>
      </c>
      <c r="C20" s="1" t="n">
        <v>1.78</v>
      </c>
      <c r="D20" s="5" t="s">
        <v>26</v>
      </c>
      <c r="G20" s="1" t="s">
        <v>24</v>
      </c>
    </row>
    <row r="21" customFormat="false" ht="15" hidden="false" customHeight="true" outlineLevel="0" collapsed="false">
      <c r="B21" s="1" t="s">
        <v>27</v>
      </c>
      <c r="C21" s="1" t="n">
        <v>1.65</v>
      </c>
      <c r="D21" s="5" t="s">
        <v>28</v>
      </c>
      <c r="G21" s="1" t="s">
        <v>24</v>
      </c>
    </row>
    <row r="22" customFormat="false" ht="15" hidden="false" customHeight="true" outlineLevel="0" collapsed="false">
      <c r="B22" s="1" t="s">
        <v>29</v>
      </c>
      <c r="C22" s="1" t="n">
        <v>12.45</v>
      </c>
      <c r="D22" s="1" t="s">
        <v>30</v>
      </c>
      <c r="G22" s="1" t="s">
        <v>24</v>
      </c>
    </row>
    <row r="23" customFormat="false" ht="15" hidden="false" customHeight="true" outlineLevel="0" collapsed="false">
      <c r="B23" s="1" t="s">
        <v>31</v>
      </c>
      <c r="C23" s="1" t="n">
        <v>13.64</v>
      </c>
      <c r="D23" s="5" t="s">
        <v>32</v>
      </c>
      <c r="G23" s="1" t="s">
        <v>24</v>
      </c>
    </row>
    <row r="24" customFormat="false" ht="15" hidden="false" customHeight="true" outlineLevel="0" collapsed="false">
      <c r="B24" s="9" t="s">
        <v>33</v>
      </c>
      <c r="C24" s="9" t="n">
        <v>99.89</v>
      </c>
      <c r="D24" s="1" t="s">
        <v>34</v>
      </c>
    </row>
    <row r="27" customFormat="false" ht="15" hidden="false" customHeight="true" outlineLevel="0" collapsed="false">
      <c r="B27" s="4" t="s">
        <v>35</v>
      </c>
    </row>
    <row r="29" customFormat="false" ht="15" hidden="false" customHeight="true" outlineLevel="0" collapsed="false">
      <c r="B29" s="7" t="s">
        <v>18</v>
      </c>
      <c r="C29" s="8" t="s">
        <v>36</v>
      </c>
      <c r="D29" s="8" t="s">
        <v>37</v>
      </c>
      <c r="E29" s="8" t="s">
        <v>38</v>
      </c>
      <c r="F29" s="7" t="s">
        <v>39</v>
      </c>
    </row>
    <row r="30" customFormat="false" ht="15" hidden="false" customHeight="true" outlineLevel="0" collapsed="false">
      <c r="B30" s="1" t="s">
        <v>40</v>
      </c>
      <c r="C30" s="1" t="n">
        <v>0.03</v>
      </c>
      <c r="D30" s="1" t="n">
        <v>0.1</v>
      </c>
      <c r="E30" s="1" t="n">
        <v>0.2</v>
      </c>
      <c r="F30" s="1" t="s">
        <v>41</v>
      </c>
    </row>
    <row r="31" customFormat="false" ht="15" hidden="false" customHeight="true" outlineLevel="0" collapsed="false">
      <c r="B31" s="1" t="s">
        <v>25</v>
      </c>
      <c r="C31" s="1" t="n">
        <v>-0.3</v>
      </c>
      <c r="D31" s="1" t="n">
        <v>-0.15</v>
      </c>
      <c r="E31" s="1" t="n">
        <v>-0.05</v>
      </c>
      <c r="F31" s="5" t="s">
        <v>42</v>
      </c>
    </row>
    <row r="32" customFormat="false" ht="15" hidden="false" customHeight="true" outlineLevel="0" collapsed="false">
      <c r="B32" s="1" t="s">
        <v>27</v>
      </c>
      <c r="C32" s="1" t="n">
        <v>-0.1</v>
      </c>
      <c r="D32" s="1" t="n">
        <v>0</v>
      </c>
      <c r="E32" s="1" t="n">
        <v>0.05</v>
      </c>
      <c r="F32" s="5" t="s">
        <v>43</v>
      </c>
    </row>
    <row r="33" customFormat="false" ht="15" hidden="false" customHeight="true" outlineLevel="0" collapsed="false">
      <c r="B33" s="1" t="s">
        <v>44</v>
      </c>
      <c r="C33" s="1" t="n">
        <v>0.15</v>
      </c>
      <c r="D33" s="1" t="n">
        <v>0.3</v>
      </c>
      <c r="E33" s="1" t="n">
        <v>0.5</v>
      </c>
      <c r="F33" s="1" t="s">
        <v>45</v>
      </c>
    </row>
    <row r="34" customFormat="false" ht="15" hidden="false" customHeight="true" outlineLevel="0" collapsed="false">
      <c r="B34" s="1" t="s">
        <v>31</v>
      </c>
      <c r="C34" s="1" t="n">
        <v>0.2</v>
      </c>
      <c r="D34" s="1" t="n">
        <v>0.35</v>
      </c>
      <c r="E34" s="1" t="n">
        <v>0.55</v>
      </c>
      <c r="F34" s="1" t="s">
        <v>46</v>
      </c>
    </row>
    <row r="37" customFormat="false" ht="15" hidden="false" customHeight="true" outlineLevel="0" collapsed="false">
      <c r="B37" s="4" t="s">
        <v>47</v>
      </c>
    </row>
    <row r="39" customFormat="false" ht="15" hidden="false" customHeight="true" outlineLevel="0" collapsed="false">
      <c r="B39" s="7" t="s">
        <v>18</v>
      </c>
      <c r="C39" s="7" t="s">
        <v>48</v>
      </c>
      <c r="D39" s="7" t="s">
        <v>49</v>
      </c>
      <c r="E39" s="7" t="s">
        <v>50</v>
      </c>
    </row>
    <row r="40" customFormat="false" ht="15" hidden="false" customHeight="true" outlineLevel="0" collapsed="false">
      <c r="B40" s="1" t="s">
        <v>40</v>
      </c>
      <c r="C40" s="1" t="n">
        <v>2.5</v>
      </c>
      <c r="D40" s="1" t="s">
        <v>51</v>
      </c>
      <c r="E40" s="1" t="s">
        <v>52</v>
      </c>
    </row>
    <row r="41" customFormat="false" ht="15" hidden="false" customHeight="true" outlineLevel="0" collapsed="false">
      <c r="B41" s="1" t="s">
        <v>25</v>
      </c>
      <c r="C41" s="1" t="n">
        <v>5</v>
      </c>
      <c r="D41" s="5" t="s">
        <v>53</v>
      </c>
      <c r="E41" s="5" t="s">
        <v>54</v>
      </c>
    </row>
    <row r="42" customFormat="false" ht="15" hidden="false" customHeight="true" outlineLevel="0" collapsed="false">
      <c r="B42" s="1" t="s">
        <v>27</v>
      </c>
      <c r="C42" s="1" t="n">
        <v>1.5</v>
      </c>
      <c r="D42" s="5" t="s">
        <v>55</v>
      </c>
      <c r="E42" s="1" t="s">
        <v>56</v>
      </c>
    </row>
    <row r="43" customFormat="false" ht="15" hidden="false" customHeight="true" outlineLevel="0" collapsed="false">
      <c r="B43" s="1" t="s">
        <v>44</v>
      </c>
      <c r="C43" s="1" t="n">
        <v>8</v>
      </c>
      <c r="D43" s="1" t="s">
        <v>57</v>
      </c>
      <c r="E43" s="1" t="s">
        <v>58</v>
      </c>
    </row>
    <row r="44" customFormat="false" ht="15" hidden="false" customHeight="true" outlineLevel="0" collapsed="false">
      <c r="B44" s="1" t="s">
        <v>31</v>
      </c>
      <c r="C44" s="1" t="n">
        <v>12</v>
      </c>
      <c r="D44" s="1" t="s">
        <v>59</v>
      </c>
      <c r="E44" s="1" t="s">
        <v>60</v>
      </c>
    </row>
    <row r="47" customFormat="false" ht="15" hidden="false" customHeight="true" outlineLevel="0" collapsed="false">
      <c r="B47" s="4" t="s">
        <v>61</v>
      </c>
    </row>
    <row r="48" customFormat="false" ht="15" hidden="false" customHeight="true" outlineLevel="0" collapsed="false">
      <c r="C48" s="1" t="s">
        <v>62</v>
      </c>
      <c r="D48" s="1" t="s">
        <v>63</v>
      </c>
      <c r="E48" s="1" t="s">
        <v>64</v>
      </c>
      <c r="F48" s="5" t="s">
        <v>65</v>
      </c>
    </row>
    <row r="49" customFormat="false" ht="15" hidden="false" customHeight="true" outlineLevel="0" collapsed="false">
      <c r="B49" s="5" t="s">
        <v>66</v>
      </c>
      <c r="C49" s="10" t="n">
        <v>0.25</v>
      </c>
      <c r="D49" s="10" t="n">
        <v>0.45</v>
      </c>
      <c r="E49" s="10" t="n">
        <v>0.3</v>
      </c>
      <c r="F49" s="1" t="n">
        <f aca="false">SUM(C49:E49)</f>
        <v>1</v>
      </c>
    </row>
    <row r="52" customFormat="false" ht="15" hidden="false" customHeight="true" outlineLevel="0" collapsed="false">
      <c r="B52" s="4" t="s">
        <v>67</v>
      </c>
    </row>
    <row r="53" customFormat="false" ht="15" hidden="false" customHeight="true" outlineLevel="0" collapsed="false">
      <c r="B53" s="1" t="s">
        <v>68</v>
      </c>
    </row>
    <row r="54" customFormat="false" ht="15" hidden="false" customHeight="true" outlineLevel="0" collapsed="false">
      <c r="B54" s="1" t="s">
        <v>69</v>
      </c>
    </row>
    <row r="55" customFormat="false" ht="15" hidden="false" customHeight="true" outlineLevel="0" collapsed="false">
      <c r="B55" s="1" t="s">
        <v>70</v>
      </c>
    </row>
    <row r="56" customFormat="false" ht="15" hidden="false" customHeight="true" outlineLevel="0" collapsed="false">
      <c r="B56" s="1" t="s">
        <v>71</v>
      </c>
    </row>
    <row r="59" customFormat="false" ht="15" hidden="false" customHeight="true" outlineLevel="0" collapsed="false">
      <c r="B59" s="4" t="s">
        <v>72</v>
      </c>
    </row>
    <row r="61" customFormat="false" ht="15" hidden="false" customHeight="true" outlineLevel="0" collapsed="false">
      <c r="B61" s="9" t="s">
        <v>73</v>
      </c>
      <c r="C61" s="9" t="s">
        <v>74</v>
      </c>
      <c r="D61" s="9" t="s">
        <v>75</v>
      </c>
    </row>
    <row r="62" customFormat="false" ht="15" hidden="false" customHeight="true" outlineLevel="0" collapsed="false">
      <c r="B62" s="1" t="s">
        <v>76</v>
      </c>
      <c r="C62" s="1" t="s">
        <v>77</v>
      </c>
      <c r="D62" s="5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5"/>
    <col collapsed="false" customWidth="true" hidden="false" outlineLevel="0" max="8" min="3" style="1" width="12"/>
  </cols>
  <sheetData>
    <row r="2" customFormat="false" ht="17.25" hidden="false" customHeight="true" outlineLevel="0" collapsed="false">
      <c r="B2" s="11" t="s">
        <v>79</v>
      </c>
    </row>
    <row r="3" customFormat="false" ht="15" hidden="false" customHeight="true" outlineLevel="0" collapsed="false">
      <c r="B3" s="3" t="s">
        <v>80</v>
      </c>
    </row>
    <row r="5" customFormat="false" ht="15" hidden="false" customHeight="true" outlineLevel="0" collapsed="false">
      <c r="B5" s="12" t="s">
        <v>81</v>
      </c>
    </row>
    <row r="7" customFormat="false" ht="15" hidden="false" customHeight="true" outlineLevel="0" collapsed="false">
      <c r="B7" s="9" t="s">
        <v>18</v>
      </c>
      <c r="C7" s="8" t="s">
        <v>82</v>
      </c>
      <c r="D7" s="8" t="s">
        <v>83</v>
      </c>
      <c r="E7" s="8" t="s">
        <v>84</v>
      </c>
      <c r="F7" s="8" t="s">
        <v>85</v>
      </c>
      <c r="G7" s="8" t="s">
        <v>86</v>
      </c>
      <c r="H7" s="8" t="s">
        <v>87</v>
      </c>
    </row>
    <row r="8" customFormat="false" ht="15" hidden="false" customHeight="true" outlineLevel="0" collapsed="false">
      <c r="B8" s="1" t="str">
        <f aca="false">'1_输入与假设'!B19</f>
        <v>Auto Sales (传统车型)</v>
      </c>
      <c r="C8" s="1" t="n">
        <f aca="false">'1_输入与假设'!C19</f>
        <v>70.37</v>
      </c>
      <c r="D8" s="1" t="n">
        <f aca="false">C8*(1+'1_输入与假设'!C30)^1</f>
        <v>72.4811</v>
      </c>
      <c r="E8" s="1" t="n">
        <f aca="false">C8*(1+'1_输入与假设'!C30)^2</f>
        <v>74.655533</v>
      </c>
      <c r="F8" s="1" t="n">
        <f aca="false">C8*(1+'1_输入与假设'!C30)^3</f>
        <v>76.89519899</v>
      </c>
      <c r="G8" s="1" t="n">
        <f aca="false">C8*(1+'1_输入与假设'!C30)^4</f>
        <v>79.2020549597</v>
      </c>
      <c r="H8" s="1" t="n">
        <f aca="false">C8*(1+'1_输入与假设'!C30)^5</f>
        <v>81.578116608491</v>
      </c>
    </row>
    <row r="9" customFormat="false" ht="15" hidden="false" customHeight="true" outlineLevel="0" collapsed="false">
      <c r="B9" s="1" t="str">
        <f aca="false">'1_输入与假设'!B20</f>
        <v>Auto Regulatory Credits</v>
      </c>
      <c r="C9" s="1" t="n">
        <f aca="false">'1_输入与假设'!C20</f>
        <v>1.78</v>
      </c>
      <c r="D9" s="1" t="n">
        <f aca="false">C9*(1+'1_输入与假设'!C31)^1</f>
        <v>1.246</v>
      </c>
      <c r="E9" s="1" t="n">
        <f aca="false">C9*(1+'1_输入与假设'!C31)^2</f>
        <v>0.8722</v>
      </c>
      <c r="F9" s="1" t="n">
        <f aca="false">C9*(1+'1_输入与假设'!C31)^3</f>
        <v>0.61054</v>
      </c>
      <c r="G9" s="1" t="n">
        <f aca="false">C9*(1+'1_输入与假设'!C31)^4</f>
        <v>0.427378</v>
      </c>
      <c r="H9" s="1" t="n">
        <f aca="false">C9*(1+'1_输入与假设'!C31)^5</f>
        <v>0.2991646</v>
      </c>
    </row>
    <row r="10" customFormat="false" ht="15" hidden="false" customHeight="true" outlineLevel="0" collapsed="false">
      <c r="B10" s="1" t="str">
        <f aca="false">'1_输入与假设'!B21</f>
        <v>Auto Leasing</v>
      </c>
      <c r="C10" s="1" t="n">
        <f aca="false">'1_输入与假设'!C21</f>
        <v>1.65</v>
      </c>
      <c r="D10" s="1" t="n">
        <f aca="false">C10*(1+'1_输入与假设'!C32)^1</f>
        <v>1.485</v>
      </c>
      <c r="E10" s="1" t="n">
        <f aca="false">C10*(1+'1_输入与假设'!C32)^2</f>
        <v>1.3365</v>
      </c>
      <c r="F10" s="1" t="n">
        <f aca="false">C10*(1+'1_输入与假设'!C32)^3</f>
        <v>1.20285</v>
      </c>
      <c r="G10" s="1" t="n">
        <f aca="false">C10*(1+'1_输入与假设'!C32)^4</f>
        <v>1.082565</v>
      </c>
      <c r="H10" s="1" t="n">
        <f aca="false">C10*(1+'1_输入与假设'!C32)^5</f>
        <v>0.9743085</v>
      </c>
    </row>
    <row r="11" customFormat="false" ht="15" hidden="false" customHeight="true" outlineLevel="0" collapsed="false">
      <c r="B11" s="1" t="str">
        <f aca="false">'1_输入与假设'!B22</f>
        <v>Energy (发电+储能)</v>
      </c>
      <c r="C11" s="1" t="n">
        <f aca="false">'1_输入与假设'!C22</f>
        <v>12.45</v>
      </c>
      <c r="D11" s="1" t="n">
        <f aca="false">C11*(1+'1_输入与假设'!C33)^1</f>
        <v>14.3175</v>
      </c>
      <c r="E11" s="1" t="n">
        <f aca="false">C11*(1+'1_输入与假设'!C33)^2</f>
        <v>16.465125</v>
      </c>
      <c r="F11" s="1" t="n">
        <f aca="false">C11*(1+'1_输入与假设'!C33)^3</f>
        <v>18.93489375</v>
      </c>
      <c r="G11" s="1" t="n">
        <f aca="false">C11*(1+'1_输入与假设'!C33)^4</f>
        <v>21.7751278125</v>
      </c>
      <c r="H11" s="1" t="n">
        <f aca="false">C11*(1+'1_输入与假设'!C33)^5</f>
        <v>25.041396984375</v>
      </c>
    </row>
    <row r="12" customFormat="false" ht="15" hidden="false" customHeight="true" outlineLevel="0" collapsed="false">
      <c r="B12" s="1" t="str">
        <f aca="false">'1_输入与假设'!B23</f>
        <v>Services &amp; Other</v>
      </c>
      <c r="C12" s="1" t="n">
        <f aca="false">'1_输入与假设'!C23</f>
        <v>13.64</v>
      </c>
      <c r="D12" s="1" t="n">
        <f aca="false">C12*(1+'1_输入与假设'!C34)^1</f>
        <v>16.368</v>
      </c>
      <c r="E12" s="1" t="n">
        <f aca="false">C12*(1+'1_输入与假设'!C34)^2</f>
        <v>19.6416</v>
      </c>
      <c r="F12" s="1" t="n">
        <f aca="false">C12*(1+'1_输入与假设'!C34)^3</f>
        <v>23.56992</v>
      </c>
      <c r="G12" s="1" t="n">
        <f aca="false">C12*(1+'1_输入与假设'!C34)^4</f>
        <v>28.283904</v>
      </c>
      <c r="H12" s="1" t="n">
        <f aca="false">C12*(1+'1_输入与假设'!C34)^5</f>
        <v>33.9406848</v>
      </c>
    </row>
    <row r="13" customFormat="false" ht="15" hidden="false" customHeight="true" outlineLevel="0" collapsed="false">
      <c r="B13" s="13" t="s">
        <v>88</v>
      </c>
      <c r="C13" s="14" t="n">
        <f aca="false">SUM(C8:C12)</f>
        <v>99.89</v>
      </c>
      <c r="D13" s="14" t="n">
        <f aca="false">SUM(D8:D12)</f>
        <v>105.8976</v>
      </c>
      <c r="E13" s="14" t="n">
        <f aca="false">SUM(E8:E12)</f>
        <v>112.970958</v>
      </c>
      <c r="F13" s="14" t="n">
        <f aca="false">SUM(F8:F12)</f>
        <v>121.21340274</v>
      </c>
      <c r="G13" s="14" t="n">
        <f aca="false">SUM(G8:G12)</f>
        <v>130.7710297722</v>
      </c>
      <c r="H13" s="14" t="n">
        <f aca="false">SUM(H8:H12)</f>
        <v>141.833671492866</v>
      </c>
    </row>
    <row r="15" customFormat="false" ht="15" hidden="false" customHeight="true" outlineLevel="0" collapsed="false">
      <c r="B15" s="15" t="s">
        <v>89</v>
      </c>
    </row>
    <row r="17" customFormat="false" ht="15" hidden="false" customHeight="true" outlineLevel="0" collapsed="false">
      <c r="B17" s="9" t="s">
        <v>18</v>
      </c>
      <c r="C17" s="8" t="s">
        <v>82</v>
      </c>
      <c r="D17" s="8" t="s">
        <v>83</v>
      </c>
      <c r="E17" s="8" t="s">
        <v>84</v>
      </c>
      <c r="F17" s="8" t="s">
        <v>85</v>
      </c>
      <c r="G17" s="8" t="s">
        <v>86</v>
      </c>
      <c r="H17" s="8" t="s">
        <v>87</v>
      </c>
    </row>
    <row r="18" customFormat="false" ht="15" hidden="false" customHeight="true" outlineLevel="0" collapsed="false">
      <c r="B18" s="1" t="str">
        <f aca="false">'1_输入与假设'!B19</f>
        <v>Auto Sales (传统车型)</v>
      </c>
      <c r="C18" s="1" t="n">
        <f aca="false">'1_输入与假设'!C19</f>
        <v>70.37</v>
      </c>
      <c r="D18" s="1" t="n">
        <f aca="false">C18*(1+'1_输入与假设'!D30)^1</f>
        <v>77.407</v>
      </c>
      <c r="E18" s="1" t="n">
        <f aca="false">C18*(1+'1_输入与假设'!D30)^2</f>
        <v>85.1477</v>
      </c>
      <c r="F18" s="1" t="n">
        <f aca="false">C18*(1+'1_输入与假设'!D30)^3</f>
        <v>93.66247</v>
      </c>
      <c r="G18" s="1" t="n">
        <f aca="false">C18*(1+'1_输入与假设'!D30)^4</f>
        <v>103.028717</v>
      </c>
      <c r="H18" s="1" t="n">
        <f aca="false">C18*(1+'1_输入与假设'!D30)^5</f>
        <v>113.3315887</v>
      </c>
    </row>
    <row r="19" customFormat="false" ht="15" hidden="false" customHeight="true" outlineLevel="0" collapsed="false">
      <c r="B19" s="1" t="str">
        <f aca="false">'1_输入与假设'!B20</f>
        <v>Auto Regulatory Credits</v>
      </c>
      <c r="C19" s="1" t="n">
        <f aca="false">'1_输入与假设'!C20</f>
        <v>1.78</v>
      </c>
      <c r="D19" s="1" t="n">
        <f aca="false">C19*(1+'1_输入与假设'!D31)^1</f>
        <v>1.513</v>
      </c>
      <c r="E19" s="1" t="n">
        <f aca="false">C19*(1+'1_输入与假设'!D31)^2</f>
        <v>1.28605</v>
      </c>
      <c r="F19" s="1" t="n">
        <f aca="false">C19*(1+'1_输入与假设'!D31)^3</f>
        <v>1.0931425</v>
      </c>
      <c r="G19" s="1" t="n">
        <f aca="false">C19*(1+'1_输入与假设'!D31)^4</f>
        <v>0.929171125</v>
      </c>
      <c r="H19" s="1" t="n">
        <f aca="false">C19*(1+'1_输入与假设'!D31)^5</f>
        <v>0.78979545625</v>
      </c>
    </row>
    <row r="20" customFormat="false" ht="15" hidden="false" customHeight="true" outlineLevel="0" collapsed="false">
      <c r="B20" s="1" t="str">
        <f aca="false">'1_输入与假设'!B21</f>
        <v>Auto Leasing</v>
      </c>
      <c r="C20" s="1" t="n">
        <f aca="false">'1_输入与假设'!C21</f>
        <v>1.65</v>
      </c>
      <c r="D20" s="1" t="n">
        <f aca="false">C20*(1+'1_输入与假设'!D32)^1</f>
        <v>1.65</v>
      </c>
      <c r="E20" s="1" t="n">
        <f aca="false">C20*(1+'1_输入与假设'!D32)^2</f>
        <v>1.65</v>
      </c>
      <c r="F20" s="1" t="n">
        <f aca="false">C20*(1+'1_输入与假设'!D32)^3</f>
        <v>1.65</v>
      </c>
      <c r="G20" s="1" t="n">
        <f aca="false">C20*(1+'1_输入与假设'!D32)^4</f>
        <v>1.65</v>
      </c>
      <c r="H20" s="1" t="n">
        <f aca="false">C20*(1+'1_输入与假设'!D32)^5</f>
        <v>1.65</v>
      </c>
    </row>
    <row r="21" customFormat="false" ht="15" hidden="false" customHeight="true" outlineLevel="0" collapsed="false">
      <c r="B21" s="1" t="str">
        <f aca="false">'1_输入与假设'!B22</f>
        <v>Energy (发电+储能)</v>
      </c>
      <c r="C21" s="1" t="n">
        <f aca="false">'1_输入与假设'!C22</f>
        <v>12.45</v>
      </c>
      <c r="D21" s="1" t="n">
        <f aca="false">C21*(1+'1_输入与假设'!D33)^1</f>
        <v>16.185</v>
      </c>
      <c r="E21" s="1" t="n">
        <f aca="false">C21*(1+'1_输入与假设'!D33)^2</f>
        <v>21.0405</v>
      </c>
      <c r="F21" s="1" t="n">
        <f aca="false">C21*(1+'1_输入与假设'!D33)^3</f>
        <v>27.35265</v>
      </c>
      <c r="G21" s="1" t="n">
        <f aca="false">C21*(1+'1_输入与假设'!D33)^4</f>
        <v>35.558445</v>
      </c>
      <c r="H21" s="1" t="n">
        <f aca="false">C21*(1+'1_输入与假设'!D33)^5</f>
        <v>46.2259785</v>
      </c>
    </row>
    <row r="22" customFormat="false" ht="15" hidden="false" customHeight="true" outlineLevel="0" collapsed="false">
      <c r="B22" s="1" t="str">
        <f aca="false">'1_输入与假设'!B23</f>
        <v>Services &amp; Other</v>
      </c>
      <c r="C22" s="1" t="n">
        <f aca="false">'1_输入与假设'!C23</f>
        <v>13.64</v>
      </c>
      <c r="D22" s="1" t="n">
        <f aca="false">C22*(1+'1_输入与假设'!D34)^1</f>
        <v>18.414</v>
      </c>
      <c r="E22" s="1" t="n">
        <f aca="false">C22*(1+'1_输入与假设'!D34)^2</f>
        <v>24.8589</v>
      </c>
      <c r="F22" s="1" t="n">
        <f aca="false">C22*(1+'1_输入与假设'!D34)^3</f>
        <v>33.559515</v>
      </c>
      <c r="G22" s="1" t="n">
        <f aca="false">C22*(1+'1_输入与假设'!D34)^4</f>
        <v>45.30534525</v>
      </c>
      <c r="H22" s="1" t="n">
        <f aca="false">C22*(1+'1_输入与假设'!D34)^5</f>
        <v>61.1622160875</v>
      </c>
    </row>
    <row r="23" customFormat="false" ht="15" hidden="false" customHeight="true" outlineLevel="0" collapsed="false">
      <c r="B23" s="13" t="s">
        <v>90</v>
      </c>
      <c r="C23" s="14" t="n">
        <f aca="false">SUM(C18:C22)</f>
        <v>99.89</v>
      </c>
      <c r="D23" s="14" t="n">
        <f aca="false">SUM(D18:D22)</f>
        <v>115.169</v>
      </c>
      <c r="E23" s="14" t="n">
        <f aca="false">SUM(E18:E22)</f>
        <v>133.98315</v>
      </c>
      <c r="F23" s="14" t="n">
        <f aca="false">SUM(F18:F22)</f>
        <v>157.3177775</v>
      </c>
      <c r="G23" s="14" t="n">
        <f aca="false">SUM(G18:G22)</f>
        <v>186.471678375</v>
      </c>
      <c r="H23" s="14" t="n">
        <f aca="false">SUM(H18:H22)</f>
        <v>223.15957874375</v>
      </c>
    </row>
    <row r="25" customFormat="false" ht="15" hidden="false" customHeight="true" outlineLevel="0" collapsed="false">
      <c r="B25" s="16" t="s">
        <v>91</v>
      </c>
    </row>
    <row r="27" customFormat="false" ht="15" hidden="false" customHeight="true" outlineLevel="0" collapsed="false">
      <c r="B27" s="9" t="s">
        <v>18</v>
      </c>
      <c r="C27" s="8" t="s">
        <v>82</v>
      </c>
      <c r="D27" s="8" t="s">
        <v>83</v>
      </c>
      <c r="E27" s="8" t="s">
        <v>84</v>
      </c>
      <c r="F27" s="8" t="s">
        <v>85</v>
      </c>
      <c r="G27" s="8" t="s">
        <v>86</v>
      </c>
      <c r="H27" s="8" t="s">
        <v>87</v>
      </c>
    </row>
    <row r="28" customFormat="false" ht="15" hidden="false" customHeight="true" outlineLevel="0" collapsed="false">
      <c r="B28" s="1" t="str">
        <f aca="false">'1_输入与假设'!B19</f>
        <v>Auto Sales (传统车型)</v>
      </c>
      <c r="C28" s="1" t="n">
        <f aca="false">'1_输入与假设'!C19</f>
        <v>70.37</v>
      </c>
      <c r="D28" s="1" t="n">
        <f aca="false">C28*(1+'1_输入与假设'!E30)^1</f>
        <v>84.444</v>
      </c>
      <c r="E28" s="1" t="n">
        <f aca="false">C28*(1+'1_输入与假设'!E30)^2</f>
        <v>101.3328</v>
      </c>
      <c r="F28" s="1" t="n">
        <f aca="false">C28*(1+'1_输入与假设'!E30)^3</f>
        <v>121.59936</v>
      </c>
      <c r="G28" s="1" t="n">
        <f aca="false">C28*(1+'1_输入与假设'!E30)^4</f>
        <v>145.919232</v>
      </c>
      <c r="H28" s="1" t="n">
        <f aca="false">C28*(1+'1_输入与假设'!E30)^5</f>
        <v>175.1030784</v>
      </c>
    </row>
    <row r="29" customFormat="false" ht="15" hidden="false" customHeight="true" outlineLevel="0" collapsed="false">
      <c r="B29" s="1" t="str">
        <f aca="false">'1_输入与假设'!B20</f>
        <v>Auto Regulatory Credits</v>
      </c>
      <c r="C29" s="1" t="n">
        <f aca="false">'1_输入与假设'!C20</f>
        <v>1.78</v>
      </c>
      <c r="D29" s="1" t="n">
        <f aca="false">C29*(1+'1_输入与假设'!E31)^1</f>
        <v>1.691</v>
      </c>
      <c r="E29" s="1" t="n">
        <f aca="false">C29*(1+'1_输入与假设'!E31)^2</f>
        <v>1.60645</v>
      </c>
      <c r="F29" s="1" t="n">
        <f aca="false">C29*(1+'1_输入与假设'!E31)^3</f>
        <v>1.5261275</v>
      </c>
      <c r="G29" s="1" t="n">
        <f aca="false">C29*(1+'1_输入与假设'!E31)^4</f>
        <v>1.449821125</v>
      </c>
      <c r="H29" s="1" t="n">
        <f aca="false">C29*(1+'1_输入与假设'!E31)^5</f>
        <v>1.37733006875</v>
      </c>
    </row>
    <row r="30" customFormat="false" ht="15" hidden="false" customHeight="true" outlineLevel="0" collapsed="false">
      <c r="B30" s="1" t="str">
        <f aca="false">'1_输入与假设'!B21</f>
        <v>Auto Leasing</v>
      </c>
      <c r="C30" s="1" t="n">
        <f aca="false">'1_输入与假设'!C21</f>
        <v>1.65</v>
      </c>
      <c r="D30" s="1" t="n">
        <f aca="false">C30*(1+'1_输入与假设'!E32)^1</f>
        <v>1.7325</v>
      </c>
      <c r="E30" s="1" t="n">
        <f aca="false">C30*(1+'1_输入与假设'!E32)^2</f>
        <v>1.819125</v>
      </c>
      <c r="F30" s="1" t="n">
        <f aca="false">C30*(1+'1_输入与假设'!E32)^3</f>
        <v>1.91008125</v>
      </c>
      <c r="G30" s="1" t="n">
        <f aca="false">C30*(1+'1_输入与假设'!E32)^4</f>
        <v>2.0055853125</v>
      </c>
      <c r="H30" s="1" t="n">
        <f aca="false">C30*(1+'1_输入与假设'!E32)^5</f>
        <v>2.105864578125</v>
      </c>
    </row>
    <row r="31" customFormat="false" ht="15" hidden="false" customHeight="true" outlineLevel="0" collapsed="false">
      <c r="B31" s="1" t="str">
        <f aca="false">'1_输入与假设'!B22</f>
        <v>Energy (发电+储能)</v>
      </c>
      <c r="C31" s="1" t="n">
        <f aca="false">'1_输入与假设'!C22</f>
        <v>12.45</v>
      </c>
      <c r="D31" s="1" t="n">
        <f aca="false">C31*(1+'1_输入与假设'!E33)^1</f>
        <v>18.675</v>
      </c>
      <c r="E31" s="1" t="n">
        <f aca="false">C31*(1+'1_输入与假设'!E33)^2</f>
        <v>28.0125</v>
      </c>
      <c r="F31" s="1" t="n">
        <f aca="false">C31*(1+'1_输入与假设'!E33)^3</f>
        <v>42.01875</v>
      </c>
      <c r="G31" s="1" t="n">
        <f aca="false">C31*(1+'1_输入与假设'!E33)^4</f>
        <v>63.028125</v>
      </c>
      <c r="H31" s="1" t="n">
        <f aca="false">C31*(1+'1_输入与假设'!E33)^5</f>
        <v>94.5421875</v>
      </c>
    </row>
    <row r="32" customFormat="false" ht="15" hidden="false" customHeight="true" outlineLevel="0" collapsed="false">
      <c r="B32" s="1" t="str">
        <f aca="false">'1_输入与假设'!B23</f>
        <v>Services &amp; Other</v>
      </c>
      <c r="C32" s="1" t="n">
        <f aca="false">'1_输入与假设'!C23</f>
        <v>13.64</v>
      </c>
      <c r="D32" s="1" t="n">
        <f aca="false">C32*(1+'1_输入与假设'!E34)^1</f>
        <v>21.142</v>
      </c>
      <c r="E32" s="1" t="n">
        <f aca="false">C32*(1+'1_输入与假设'!E34)^2</f>
        <v>32.7701</v>
      </c>
      <c r="F32" s="1" t="n">
        <f aca="false">C32*(1+'1_输入与假设'!E34)^3</f>
        <v>50.793655</v>
      </c>
      <c r="G32" s="1" t="n">
        <f aca="false">C32*(1+'1_输入与假设'!E34)^4</f>
        <v>78.73016525</v>
      </c>
      <c r="H32" s="1" t="n">
        <f aca="false">C32*(1+'1_输入与假设'!E34)^5</f>
        <v>122.0317561375</v>
      </c>
    </row>
    <row r="33" customFormat="false" ht="15" hidden="false" customHeight="true" outlineLevel="0" collapsed="false">
      <c r="B33" s="13" t="s">
        <v>92</v>
      </c>
      <c r="C33" s="14" t="n">
        <f aca="false">SUM(C28:C32)</f>
        <v>99.89</v>
      </c>
      <c r="D33" s="14" t="n">
        <f aca="false">SUM(D28:D32)</f>
        <v>127.6845</v>
      </c>
      <c r="E33" s="14" t="n">
        <f aca="false">SUM(E28:E32)</f>
        <v>165.540975</v>
      </c>
      <c r="F33" s="14" t="n">
        <f aca="false">SUM(F28:F32)</f>
        <v>217.84797375</v>
      </c>
      <c r="G33" s="14" t="n">
        <f aca="false">SUM(G28:G32)</f>
        <v>291.1329286875</v>
      </c>
      <c r="H33" s="14" t="n">
        <f aca="false">SUM(H28:H32)</f>
        <v>395.160216684375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8"/>
    <col collapsed="false" customWidth="true" hidden="false" outlineLevel="0" max="6" min="3" style="1" width="16"/>
  </cols>
  <sheetData>
    <row r="2" customFormat="false" ht="17.25" hidden="false" customHeight="true" outlineLevel="0" collapsed="false">
      <c r="B2" s="11" t="s">
        <v>93</v>
      </c>
    </row>
    <row r="3" customFormat="false" ht="15" hidden="false" customHeight="true" outlineLevel="0" collapsed="false">
      <c r="B3" s="3" t="s">
        <v>94</v>
      </c>
    </row>
    <row r="5" customFormat="false" ht="15" hidden="false" customHeight="true" outlineLevel="0" collapsed="false">
      <c r="B5" s="12" t="s">
        <v>95</v>
      </c>
    </row>
    <row r="7" customFormat="false" ht="15" hidden="false" customHeight="true" outlineLevel="0" collapsed="false">
      <c r="B7" s="7" t="s">
        <v>18</v>
      </c>
      <c r="C7" s="8" t="s">
        <v>96</v>
      </c>
      <c r="D7" s="7" t="s">
        <v>97</v>
      </c>
      <c r="E7" s="8" t="s">
        <v>98</v>
      </c>
      <c r="F7" s="7" t="s">
        <v>99</v>
      </c>
    </row>
    <row r="8" customFormat="false" ht="15" hidden="false" customHeight="true" outlineLevel="0" collapsed="false">
      <c r="B8" s="1" t="str">
        <f aca="false">'1_输入与假设'!B19</f>
        <v>Auto Sales (传统车型)</v>
      </c>
      <c r="C8" s="1" t="n">
        <f aca="false">'2_5年预测'!H8</f>
        <v>81.578116608491</v>
      </c>
      <c r="D8" s="1" t="n">
        <f aca="false">'1_输入与假设'!C40</f>
        <v>2.5</v>
      </c>
      <c r="E8" s="1" t="n">
        <f aca="false">C8*D8</f>
        <v>203.945291521228</v>
      </c>
      <c r="F8" s="1" t="n">
        <f aca="false">E8/(1+'1_输入与假设'!C10)^5</f>
        <v>126.633980243046</v>
      </c>
    </row>
    <row r="9" customFormat="false" ht="15" hidden="false" customHeight="true" outlineLevel="0" collapsed="false">
      <c r="B9" s="1" t="str">
        <f aca="false">'1_输入与假设'!B20</f>
        <v>Auto Regulatory Credits</v>
      </c>
      <c r="C9" s="1" t="n">
        <f aca="false">'2_5年预测'!H9</f>
        <v>0.2991646</v>
      </c>
      <c r="D9" s="1" t="n">
        <f aca="false">'1_输入与假设'!C41</f>
        <v>5</v>
      </c>
      <c r="E9" s="1" t="n">
        <f aca="false">C9*D9</f>
        <v>1.495823</v>
      </c>
      <c r="F9" s="1" t="n">
        <f aca="false">E9/(1+'1_输入与假设'!C10)^5</f>
        <v>0.928788396222314</v>
      </c>
    </row>
    <row r="10" customFormat="false" ht="15" hidden="false" customHeight="true" outlineLevel="0" collapsed="false">
      <c r="B10" s="1" t="str">
        <f aca="false">'1_输入与假设'!B21</f>
        <v>Auto Leasing</v>
      </c>
      <c r="C10" s="1" t="n">
        <f aca="false">'2_5年预测'!H10</f>
        <v>0.9743085</v>
      </c>
      <c r="D10" s="1" t="n">
        <f aca="false">'1_输入与假设'!C42</f>
        <v>1.5</v>
      </c>
      <c r="E10" s="1" t="n">
        <f aca="false">C10*D10</f>
        <v>1.46146275</v>
      </c>
      <c r="F10" s="1" t="n">
        <f aca="false">E10/(1+'1_输入与假设'!C10)^5</f>
        <v>0.907453384331671</v>
      </c>
    </row>
    <row r="11" customFormat="false" ht="15" hidden="false" customHeight="true" outlineLevel="0" collapsed="false">
      <c r="B11" s="1" t="str">
        <f aca="false">'1_输入与假设'!B22</f>
        <v>Energy (发电+储能)</v>
      </c>
      <c r="C11" s="1" t="n">
        <f aca="false">'2_5年预测'!H11</f>
        <v>25.041396984375</v>
      </c>
      <c r="D11" s="1" t="n">
        <f aca="false">'1_输入与假设'!C43</f>
        <v>8</v>
      </c>
      <c r="E11" s="1" t="n">
        <f aca="false">C11*D11</f>
        <v>200.331175875</v>
      </c>
      <c r="F11" s="1" t="n">
        <f aca="false">E11/(1+'1_输入与假设'!C10)^5</f>
        <v>124.389898774301</v>
      </c>
    </row>
    <row r="12" customFormat="false" ht="15" hidden="false" customHeight="true" outlineLevel="0" collapsed="false">
      <c r="B12" s="1" t="str">
        <f aca="false">'1_输入与假设'!B23</f>
        <v>Services &amp; Other</v>
      </c>
      <c r="C12" s="1" t="n">
        <f aca="false">'2_5年预测'!H12</f>
        <v>33.9406848</v>
      </c>
      <c r="D12" s="1" t="n">
        <f aca="false">'1_输入与假设'!C44</f>
        <v>12</v>
      </c>
      <c r="E12" s="1" t="n">
        <f aca="false">C12*D12</f>
        <v>407.2882176</v>
      </c>
      <c r="F12" s="1" t="n">
        <f aca="false">E12/(1+'1_输入与假设'!C10)^5</f>
        <v>252.893938938597</v>
      </c>
    </row>
    <row r="13" customFormat="false" ht="15" hidden="false" customHeight="true" outlineLevel="0" collapsed="false">
      <c r="B13" s="13" t="s">
        <v>100</v>
      </c>
      <c r="E13" s="14" t="n">
        <f aca="false">SUM(E8:E12)</f>
        <v>814.521970746228</v>
      </c>
      <c r="F13" s="14" t="n">
        <f aca="false">SUM(F8:F12)</f>
        <v>505.754059736498</v>
      </c>
    </row>
    <row r="15" customFormat="false" ht="15" hidden="false" customHeight="true" outlineLevel="0" collapsed="false">
      <c r="B15" s="15" t="s">
        <v>101</v>
      </c>
    </row>
    <row r="17" customFormat="false" ht="15" hidden="false" customHeight="true" outlineLevel="0" collapsed="false">
      <c r="B17" s="7" t="s">
        <v>18</v>
      </c>
      <c r="C17" s="8" t="s">
        <v>96</v>
      </c>
      <c r="D17" s="7" t="s">
        <v>97</v>
      </c>
      <c r="E17" s="8" t="s">
        <v>98</v>
      </c>
      <c r="F17" s="7" t="s">
        <v>99</v>
      </c>
    </row>
    <row r="18" customFormat="false" ht="15" hidden="false" customHeight="true" outlineLevel="0" collapsed="false">
      <c r="B18" s="1" t="str">
        <f aca="false">'1_输入与假设'!B19</f>
        <v>Auto Sales (传统车型)</v>
      </c>
      <c r="C18" s="1" t="n">
        <f aca="false">'2_5年预测'!H18</f>
        <v>113.3315887</v>
      </c>
      <c r="D18" s="1" t="n">
        <f aca="false">'1_输入与假设'!C40</f>
        <v>2.5</v>
      </c>
      <c r="E18" s="1" t="n">
        <f aca="false">C18*D18</f>
        <v>283.32897175</v>
      </c>
      <c r="F18" s="1" t="n">
        <f aca="false">E18/(1+'1_输入与假设'!C10)^5</f>
        <v>175.925</v>
      </c>
    </row>
    <row r="19" customFormat="false" ht="15" hidden="false" customHeight="true" outlineLevel="0" collapsed="false">
      <c r="B19" s="1" t="str">
        <f aca="false">'1_输入与假设'!B20</f>
        <v>Auto Regulatory Credits</v>
      </c>
      <c r="C19" s="1" t="n">
        <f aca="false">'2_5年预测'!H19</f>
        <v>0.78979545625</v>
      </c>
      <c r="D19" s="1" t="n">
        <f aca="false">'1_输入与假设'!C41</f>
        <v>5</v>
      </c>
      <c r="E19" s="1" t="n">
        <f aca="false">C19*D19</f>
        <v>3.94897728125</v>
      </c>
      <c r="F19" s="1" t="n">
        <f aca="false">E19/(1+'1_输入与假设'!C10)^5</f>
        <v>2.45200419820429</v>
      </c>
    </row>
    <row r="20" customFormat="false" ht="15" hidden="false" customHeight="true" outlineLevel="0" collapsed="false">
      <c r="B20" s="1" t="str">
        <f aca="false">'1_输入与假设'!B21</f>
        <v>Auto Leasing</v>
      </c>
      <c r="C20" s="1" t="n">
        <f aca="false">'2_5年预测'!H20</f>
        <v>1.65</v>
      </c>
      <c r="D20" s="1" t="n">
        <f aca="false">'1_输入与假设'!C42</f>
        <v>1.5</v>
      </c>
      <c r="E20" s="1" t="n">
        <f aca="false">C20*D20</f>
        <v>2.475</v>
      </c>
      <c r="F20" s="1" t="n">
        <f aca="false">E20/(1+'1_输入与假设'!C10)^5</f>
        <v>1.53678027457141</v>
      </c>
    </row>
    <row r="21" customFormat="false" ht="15" hidden="false" customHeight="true" outlineLevel="0" collapsed="false">
      <c r="B21" s="1" t="str">
        <f aca="false">'1_输入与假设'!B22</f>
        <v>Energy (发电+储能)</v>
      </c>
      <c r="C21" s="1" t="n">
        <f aca="false">'2_5年预测'!H21</f>
        <v>46.2259785</v>
      </c>
      <c r="D21" s="1" t="n">
        <f aca="false">'1_输入与假设'!C43</f>
        <v>8</v>
      </c>
      <c r="E21" s="1" t="n">
        <f aca="false">C21*D21</f>
        <v>369.807828</v>
      </c>
      <c r="F21" s="1" t="n">
        <f aca="false">E21/(1+'1_输入与假设'!C10)^5</f>
        <v>229.621565839392</v>
      </c>
    </row>
    <row r="22" customFormat="false" ht="15" hidden="false" customHeight="true" outlineLevel="0" collapsed="false">
      <c r="B22" s="1" t="str">
        <f aca="false">'1_输入与假设'!B23</f>
        <v>Services &amp; Other</v>
      </c>
      <c r="C22" s="1" t="n">
        <f aca="false">'2_5年预测'!H22</f>
        <v>61.1622160875</v>
      </c>
      <c r="D22" s="1" t="n">
        <f aca="false">'1_输入与假设'!C44</f>
        <v>12</v>
      </c>
      <c r="E22" s="1" t="n">
        <f aca="false">C22*D22</f>
        <v>733.94659305</v>
      </c>
      <c r="F22" s="1" t="n">
        <f aca="false">E22/(1+'1_输入与假设'!C10)^5</f>
        <v>455.723089611365</v>
      </c>
    </row>
    <row r="23" customFormat="false" ht="15" hidden="false" customHeight="true" outlineLevel="0" collapsed="false">
      <c r="B23" s="13" t="s">
        <v>102</v>
      </c>
      <c r="E23" s="14" t="n">
        <f aca="false">SUM(E18:E22)</f>
        <v>1393.50737008125</v>
      </c>
      <c r="F23" s="14" t="n">
        <f aca="false">SUM(F18:F22)</f>
        <v>865.258439923534</v>
      </c>
    </row>
    <row r="25" customFormat="false" ht="15" hidden="false" customHeight="true" outlineLevel="0" collapsed="false">
      <c r="B25" s="16" t="s">
        <v>103</v>
      </c>
    </row>
    <row r="27" customFormat="false" ht="15" hidden="false" customHeight="true" outlineLevel="0" collapsed="false">
      <c r="B27" s="7" t="s">
        <v>18</v>
      </c>
      <c r="C27" s="8" t="s">
        <v>96</v>
      </c>
      <c r="D27" s="7" t="s">
        <v>97</v>
      </c>
      <c r="E27" s="8" t="s">
        <v>98</v>
      </c>
      <c r="F27" s="7" t="s">
        <v>99</v>
      </c>
    </row>
    <row r="28" customFormat="false" ht="15" hidden="false" customHeight="true" outlineLevel="0" collapsed="false">
      <c r="B28" s="1" t="str">
        <f aca="false">'1_输入与假设'!B19</f>
        <v>Auto Sales (传统车型)</v>
      </c>
      <c r="C28" s="1" t="n">
        <f aca="false">'2_5年预测'!H28</f>
        <v>175.1030784</v>
      </c>
      <c r="D28" s="1" t="n">
        <f aca="false">'1_输入与假设'!C40</f>
        <v>2.5</v>
      </c>
      <c r="E28" s="1" t="n">
        <f aca="false">C28*D28</f>
        <v>437.757696</v>
      </c>
      <c r="F28" s="1" t="n">
        <f aca="false">E28/(1+'1_输入与假设'!C10)^5</f>
        <v>271.813087779647</v>
      </c>
    </row>
    <row r="29" customFormat="false" ht="15" hidden="false" customHeight="true" outlineLevel="0" collapsed="false">
      <c r="B29" s="1" t="str">
        <f aca="false">'1_输入与假设'!B20</f>
        <v>Auto Regulatory Credits</v>
      </c>
      <c r="C29" s="1" t="n">
        <f aca="false">'2_5年预测'!H29</f>
        <v>1.37733006875</v>
      </c>
      <c r="D29" s="1" t="n">
        <f aca="false">'1_输入与假设'!C41</f>
        <v>5</v>
      </c>
      <c r="E29" s="1" t="n">
        <f aca="false">C29*D29</f>
        <v>6.88665034375</v>
      </c>
      <c r="F29" s="1" t="n">
        <f aca="false">E29/(1+'1_输入与假设'!C10)^5</f>
        <v>4.27606804288703</v>
      </c>
    </row>
    <row r="30" customFormat="false" ht="15" hidden="false" customHeight="true" outlineLevel="0" collapsed="false">
      <c r="B30" s="1" t="str">
        <f aca="false">'1_输入与假设'!B21</f>
        <v>Auto Leasing</v>
      </c>
      <c r="C30" s="1" t="n">
        <f aca="false">'2_5年预测'!H30</f>
        <v>2.105864578125</v>
      </c>
      <c r="D30" s="1" t="n">
        <f aca="false">'1_输入与假设'!C42</f>
        <v>1.5</v>
      </c>
      <c r="E30" s="1" t="n">
        <f aca="false">C30*D30</f>
        <v>3.1587968671875</v>
      </c>
      <c r="F30" s="1" t="n">
        <f aca="false">E30/(1+'1_输入与假设'!C10)^5</f>
        <v>1.96136433004918</v>
      </c>
    </row>
    <row r="31" customFormat="false" ht="15" hidden="false" customHeight="true" outlineLevel="0" collapsed="false">
      <c r="B31" s="1" t="str">
        <f aca="false">'1_输入与假设'!B22</f>
        <v>Energy (发电+储能)</v>
      </c>
      <c r="C31" s="1" t="n">
        <f aca="false">'2_5年预测'!H31</f>
        <v>94.5421875</v>
      </c>
      <c r="D31" s="1" t="n">
        <f aca="false">'1_输入与假设'!C43</f>
        <v>8</v>
      </c>
      <c r="E31" s="1" t="n">
        <f aca="false">C31*D31</f>
        <v>756.3375</v>
      </c>
      <c r="F31" s="1" t="n">
        <f aca="false">E31/(1+'1_输入与假设'!C10)^5</f>
        <v>469.626081179254</v>
      </c>
    </row>
    <row r="32" customFormat="false" ht="15" hidden="false" customHeight="true" outlineLevel="0" collapsed="false">
      <c r="B32" s="1" t="str">
        <f aca="false">'1_输入与假设'!B23</f>
        <v>Services &amp; Other</v>
      </c>
      <c r="C32" s="1" t="n">
        <f aca="false">'2_5年预测'!H32</f>
        <v>122.0317561375</v>
      </c>
      <c r="D32" s="1" t="n">
        <f aca="false">'1_输入与假设'!C44</f>
        <v>12</v>
      </c>
      <c r="E32" s="1" t="n">
        <f aca="false">C32*D32</f>
        <v>1464.38107365</v>
      </c>
      <c r="F32" s="1" t="n">
        <f aca="false">E32/(1+'1_输入与假设'!C10)^5</f>
        <v>909.265433713544</v>
      </c>
    </row>
    <row r="33" customFormat="false" ht="15" hidden="false" customHeight="true" outlineLevel="0" collapsed="false">
      <c r="B33" s="13" t="s">
        <v>104</v>
      </c>
      <c r="E33" s="14" t="n">
        <f aca="false">SUM(E28:E32)</f>
        <v>2668.52171686094</v>
      </c>
      <c r="F33" s="14" t="n">
        <f aca="false">SUM(F28:F32)</f>
        <v>1656.94203504538</v>
      </c>
    </row>
    <row r="35" customFormat="false" ht="15" hidden="false" customHeight="true" outlineLevel="0" collapsed="false">
      <c r="B35" s="4" t="s">
        <v>105</v>
      </c>
    </row>
    <row r="37" customFormat="false" ht="15" hidden="false" customHeight="true" outlineLevel="0" collapsed="false">
      <c r="B37" s="7" t="s">
        <v>106</v>
      </c>
      <c r="C37" s="7" t="s">
        <v>66</v>
      </c>
      <c r="D37" s="8" t="s">
        <v>107</v>
      </c>
      <c r="E37" s="7" t="s">
        <v>108</v>
      </c>
      <c r="F37" s="7" t="s">
        <v>109</v>
      </c>
    </row>
    <row r="38" customFormat="false" ht="15" hidden="false" customHeight="true" outlineLevel="0" collapsed="false">
      <c r="B38" s="1" t="s">
        <v>62</v>
      </c>
      <c r="C38" s="1" t="n">
        <f aca="false">'1_输入与假设'!C49</f>
        <v>0.25</v>
      </c>
      <c r="D38" s="1" t="n">
        <f aca="false">E13</f>
        <v>814.521970746228</v>
      </c>
      <c r="E38" s="1" t="n">
        <f aca="false">F13</f>
        <v>505.754059736498</v>
      </c>
      <c r="F38" s="1" t="n">
        <f aca="false">C38*E38</f>
        <v>126.438514934124</v>
      </c>
    </row>
    <row r="39" customFormat="false" ht="15" hidden="false" customHeight="true" outlineLevel="0" collapsed="false">
      <c r="B39" s="1" t="s">
        <v>63</v>
      </c>
      <c r="C39" s="1" t="n">
        <f aca="false">'1_输入与假设'!D49</f>
        <v>0.45</v>
      </c>
      <c r="D39" s="1" t="n">
        <f aca="false">E23</f>
        <v>1393.50737008125</v>
      </c>
      <c r="E39" s="1" t="n">
        <f aca="false">F23</f>
        <v>865.258439923534</v>
      </c>
      <c r="F39" s="1" t="n">
        <f aca="false">C39*E39</f>
        <v>389.36629796559</v>
      </c>
    </row>
    <row r="40" customFormat="false" ht="15" hidden="false" customHeight="true" outlineLevel="0" collapsed="false">
      <c r="B40" s="1" t="s">
        <v>64</v>
      </c>
      <c r="C40" s="1" t="n">
        <f aca="false">'1_输入与假设'!E49</f>
        <v>0.3</v>
      </c>
      <c r="D40" s="1" t="n">
        <f aca="false">E33</f>
        <v>2668.52171686094</v>
      </c>
      <c r="E40" s="1" t="n">
        <f aca="false">F33</f>
        <v>1656.94203504538</v>
      </c>
      <c r="F40" s="1" t="n">
        <f aca="false">C40*E40</f>
        <v>497.082610513614</v>
      </c>
    </row>
    <row r="41" customFormat="false" ht="15" hidden="false" customHeight="true" outlineLevel="0" collapsed="false">
      <c r="B41" s="9" t="s">
        <v>110</v>
      </c>
      <c r="F41" s="14" t="n">
        <f aca="false">SUM(F38:F40)</f>
        <v>1012.88742341333</v>
      </c>
    </row>
    <row r="43" customFormat="false" ht="15" hidden="false" customHeight="true" outlineLevel="0" collapsed="false">
      <c r="B43" s="16" t="s">
        <v>111</v>
      </c>
      <c r="F43" s="17" t="n">
        <f aca="false">'6_期权价值'!F22</f>
        <v>269.479854207673</v>
      </c>
    </row>
    <row r="44" customFormat="false" ht="15" hidden="false" customHeight="true" outlineLevel="0" collapsed="false">
      <c r="B44" s="4" t="s">
        <v>112</v>
      </c>
      <c r="F44" s="18" t="n">
        <f aca="false">F41+F43</f>
        <v>1282.367277621</v>
      </c>
    </row>
    <row r="46" customFormat="false" ht="15" hidden="false" customHeight="true" outlineLevel="0" collapsed="false">
      <c r="B46" s="5" t="s">
        <v>113</v>
      </c>
      <c r="F46" s="1" t="n">
        <f aca="false">'1_输入与假设'!C9</f>
        <v>1514.264</v>
      </c>
    </row>
    <row r="47" customFormat="false" ht="15" hidden="false" customHeight="true" outlineLevel="0" collapsed="false">
      <c r="B47" s="5" t="s">
        <v>114</v>
      </c>
      <c r="F47" s="1" t="n">
        <f aca="false">F46/F41-1</f>
        <v>0.494997336324981</v>
      </c>
    </row>
    <row r="48" customFormat="false" ht="15" hidden="false" customHeight="true" outlineLevel="0" collapsed="false">
      <c r="B48" s="9" t="s">
        <v>115</v>
      </c>
      <c r="F48" s="19" t="n">
        <f aca="false">F46/F44-1</f>
        <v>0.180834871901288</v>
      </c>
    </row>
    <row r="51" customFormat="false" ht="15" hidden="false" customHeight="true" outlineLevel="0" collapsed="false">
      <c r="B51" s="20" t="s">
        <v>116</v>
      </c>
    </row>
    <row r="52" customFormat="false" ht="15" hidden="false" customHeight="true" outlineLevel="0" collapsed="false">
      <c r="B52" s="5" t="s">
        <v>117</v>
      </c>
    </row>
    <row r="54" customFormat="false" ht="15" hidden="false" customHeight="true" outlineLevel="0" collapsed="false">
      <c r="B54" s="7" t="s">
        <v>106</v>
      </c>
      <c r="C54" s="8" t="s">
        <v>107</v>
      </c>
      <c r="D54" s="8" t="s">
        <v>118</v>
      </c>
      <c r="E54" s="8" t="s">
        <v>119</v>
      </c>
      <c r="F54" s="7" t="s">
        <v>120</v>
      </c>
    </row>
    <row r="55" customFormat="false" ht="15" hidden="false" customHeight="true" outlineLevel="0" collapsed="false">
      <c r="B55" s="1" t="s">
        <v>62</v>
      </c>
      <c r="C55" s="1" t="n">
        <f aca="false">E13</f>
        <v>814.521970746228</v>
      </c>
      <c r="D55" s="1" t="n">
        <f aca="false">'6_期权价值'!F22*(1+'1_输入与假设'!C10)^5</f>
        <v>434</v>
      </c>
      <c r="E55" s="1" t="n">
        <f aca="false">('1_输入与假设'!C8*(1+'1_输入与假设'!C11)^5)</f>
        <v>3.6273389335673</v>
      </c>
      <c r="F55" s="1" t="n">
        <f aca="false">(C55+D55)/E55/(1+'1_输入与假设'!C10)^5</f>
        <v>213.719734533262</v>
      </c>
    </row>
    <row r="56" customFormat="false" ht="15" hidden="false" customHeight="true" outlineLevel="0" collapsed="false">
      <c r="B56" s="1" t="s">
        <v>63</v>
      </c>
      <c r="C56" s="1" t="n">
        <f aca="false">E23</f>
        <v>1393.50737008125</v>
      </c>
      <c r="D56" s="1" t="n">
        <f aca="false">'6_期权价值'!F22*(1+'1_输入与假设'!C10)^5</f>
        <v>434</v>
      </c>
      <c r="E56" s="1" t="n">
        <f aca="false">('1_输入与假设'!C8*(1+'1_输入与假设'!C11)^5)</f>
        <v>3.6273389335673</v>
      </c>
      <c r="F56" s="1" t="n">
        <f aca="false">(C56+D56)/E56/(1+'1_输入与假设'!C10)^5</f>
        <v>312.829408807202</v>
      </c>
    </row>
    <row r="57" customFormat="false" ht="15" hidden="false" customHeight="true" outlineLevel="0" collapsed="false">
      <c r="B57" s="1" t="s">
        <v>64</v>
      </c>
      <c r="C57" s="1" t="n">
        <f aca="false">E33</f>
        <v>2668.52171686094</v>
      </c>
      <c r="D57" s="1" t="n">
        <f aca="false">'6_期权价值'!F22*(1+'1_输入与假设'!C10)^5</f>
        <v>434</v>
      </c>
      <c r="E57" s="1" t="n">
        <f aca="false">('1_输入与假设'!C8*(1+'1_输入与假设'!C11)^5)</f>
        <v>3.6273389335673</v>
      </c>
      <c r="F57" s="1" t="n">
        <f aca="false">(C57+D57)/E57/(1+'1_输入与假设'!C10)^5</f>
        <v>531.084060390937</v>
      </c>
    </row>
    <row r="59" customFormat="false" ht="15" hidden="false" customHeight="true" outlineLevel="0" collapsed="false">
      <c r="B59" s="9" t="s">
        <v>121</v>
      </c>
      <c r="F59" s="14" t="n">
        <f aca="false">F55*'1_输入与假设'!C49+F56*'1_输入与假设'!D49+F57*'1_输入与假设'!E49</f>
        <v>353.528385713838</v>
      </c>
    </row>
    <row r="60" customFormat="false" ht="15" hidden="false" customHeight="true" outlineLevel="0" collapsed="false">
      <c r="B60" s="5" t="s">
        <v>122</v>
      </c>
      <c r="F60" s="1" t="n">
        <f aca="false">'1_输入与假设'!C7</f>
        <v>428</v>
      </c>
    </row>
    <row r="61" customFormat="false" ht="15" hidden="false" customHeight="true" outlineLevel="0" collapsed="false">
      <c r="B61" s="9" t="s">
        <v>123</v>
      </c>
      <c r="F61" s="19" t="n">
        <f aca="false">F60/F59-1</f>
        <v>0.210652432154184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5"/>
    <col collapsed="false" customWidth="true" hidden="false" outlineLevel="0" max="8" min="5" style="1" width="14"/>
  </cols>
  <sheetData>
    <row r="2" customFormat="false" ht="17.25" hidden="false" customHeight="true" outlineLevel="0" collapsed="false">
      <c r="B2" s="11" t="s">
        <v>124</v>
      </c>
    </row>
    <row r="3" customFormat="false" ht="15" hidden="false" customHeight="true" outlineLevel="0" collapsed="false">
      <c r="B3" s="3" t="s">
        <v>125</v>
      </c>
    </row>
    <row r="5" customFormat="false" ht="15" hidden="false" customHeight="true" outlineLevel="0" collapsed="false">
      <c r="B5" s="4" t="s">
        <v>126</v>
      </c>
    </row>
    <row r="7" customFormat="false" ht="15" hidden="false" customHeight="true" outlineLevel="0" collapsed="false">
      <c r="B7" s="5" t="s">
        <v>3</v>
      </c>
      <c r="C7" s="1" t="n">
        <f aca="false">'1_输入与假设'!C7</f>
        <v>428</v>
      </c>
    </row>
    <row r="8" customFormat="false" ht="15" hidden="false" customHeight="true" outlineLevel="0" collapsed="false">
      <c r="B8" s="5" t="s">
        <v>7</v>
      </c>
      <c r="C8" s="1" t="n">
        <f aca="false">'1_输入与假设'!C9</f>
        <v>1514.264</v>
      </c>
    </row>
    <row r="9" customFormat="false" ht="15" hidden="false" customHeight="true" outlineLevel="0" collapsed="false">
      <c r="B9" s="1" t="s">
        <v>127</v>
      </c>
      <c r="C9" s="1" t="n">
        <f aca="false">'3_SOTP估值'!F13</f>
        <v>505.754059736498</v>
      </c>
    </row>
    <row r="10" customFormat="false" ht="15" hidden="false" customHeight="true" outlineLevel="0" collapsed="false">
      <c r="B10" s="1" t="s">
        <v>128</v>
      </c>
      <c r="C10" s="1" t="n">
        <f aca="false">'3_SOTP估值'!F23</f>
        <v>865.258439923534</v>
      </c>
    </row>
    <row r="11" customFormat="false" ht="15" hidden="false" customHeight="true" outlineLevel="0" collapsed="false">
      <c r="B11" s="1" t="s">
        <v>129</v>
      </c>
      <c r="C11" s="1" t="n">
        <f aca="false">'3_SOTP估值'!F33</f>
        <v>1656.94203504538</v>
      </c>
    </row>
    <row r="12" customFormat="false" ht="15" hidden="false" customHeight="true" outlineLevel="0" collapsed="false">
      <c r="B12" s="5" t="s">
        <v>130</v>
      </c>
      <c r="C12" s="1" t="n">
        <f aca="false">'3_SOTP估值'!F41</f>
        <v>1012.88742341333</v>
      </c>
    </row>
    <row r="13" customFormat="false" ht="15" hidden="false" customHeight="true" outlineLevel="0" collapsed="false">
      <c r="B13" s="1" t="s">
        <v>131</v>
      </c>
      <c r="C13" s="1" t="n">
        <f aca="false">'3_SOTP估值'!F43</f>
        <v>269.479854207673</v>
      </c>
    </row>
    <row r="14" customFormat="false" ht="15" hidden="false" customHeight="true" outlineLevel="0" collapsed="false">
      <c r="B14" s="5" t="s">
        <v>132</v>
      </c>
      <c r="C14" s="1" t="n">
        <f aca="false">'3_SOTP估值'!F44</f>
        <v>1282.367277621</v>
      </c>
    </row>
    <row r="15" customFormat="false" ht="15" hidden="false" customHeight="true" outlineLevel="0" collapsed="false">
      <c r="B15" s="5" t="s">
        <v>133</v>
      </c>
      <c r="C15" s="1" t="n">
        <f aca="false">'1_输入与假设'!C10</f>
        <v>0.1</v>
      </c>
    </row>
    <row r="17" customFormat="false" ht="15" hidden="false" customHeight="true" outlineLevel="0" collapsed="false">
      <c r="B17" s="4" t="s">
        <v>134</v>
      </c>
    </row>
    <row r="19" customFormat="false" ht="15" hidden="false" customHeight="true" outlineLevel="0" collapsed="false">
      <c r="B19" s="7" t="s">
        <v>135</v>
      </c>
      <c r="C19" s="8" t="s">
        <v>136</v>
      </c>
      <c r="D19" s="8" t="s">
        <v>137</v>
      </c>
      <c r="E19" s="8" t="s">
        <v>138</v>
      </c>
      <c r="F19" s="8" t="s">
        <v>139</v>
      </c>
      <c r="G19" s="7" t="s">
        <v>140</v>
      </c>
      <c r="H19" s="7" t="s">
        <v>141</v>
      </c>
    </row>
    <row r="20" customFormat="false" ht="15" hidden="false" customHeight="true" outlineLevel="0" collapsed="false">
      <c r="B20" s="1" t="n">
        <f aca="false">$C$8*0.5</f>
        <v>757.132</v>
      </c>
      <c r="C20" s="1" t="n">
        <v>-0.5</v>
      </c>
      <c r="D20" s="1" t="n">
        <f aca="false">(('3_SOTP估值'!$E$13+'6_期权价值'!$F$22*(1+'1_输入与假设'!$C$10)^5)/B20)^(1/5)-1</f>
        <v>0.105210284195596</v>
      </c>
      <c r="E20" s="1" t="n">
        <f aca="false">(('3_SOTP估值'!$E$23+'6_期权价值'!$F$22*(1+'1_输入与假设'!$C$10)^5)/B20)^(1/5)-1</f>
        <v>0.192717268207383</v>
      </c>
      <c r="F20" s="1" t="n">
        <f aca="false">(('3_SOTP估值'!$E$33+'6_期权价值'!$F$22*(1+'1_输入与假设'!$C$10)^5)/B20)^(1/5)-1</f>
        <v>0.325893512492224</v>
      </c>
      <c r="G20" s="1" t="n">
        <f aca="false">D20*'1_输入与假设'!$C$49+E20*'1_输入与假设'!$D$49+F20*'1_输入与假设'!$E$49</f>
        <v>0.210793395489889</v>
      </c>
      <c r="H20" s="1" t="s">
        <v>142</v>
      </c>
    </row>
    <row r="21" customFormat="false" ht="15" hidden="false" customHeight="true" outlineLevel="0" collapsed="false">
      <c r="B21" s="1" t="n">
        <f aca="false">$C$8*0.7</f>
        <v>1059.9848</v>
      </c>
      <c r="C21" s="1" t="n">
        <v>-0.3</v>
      </c>
      <c r="D21" s="1" t="n">
        <f aca="false">(('3_SOTP估值'!$E$13+'6_期权价值'!$F$22*(1+'1_输入与假设'!$C$10)^5)/B21)^(1/5)-1</f>
        <v>0.0332830620181617</v>
      </c>
      <c r="E21" s="1" t="n">
        <f aca="false">(('3_SOTP估值'!$E$23+'6_期权价值'!$F$22*(1+'1_输入与假设'!$C$10)^5)/B21)^(1/5)-1</f>
        <v>0.115095080672589</v>
      </c>
      <c r="F21" s="1" t="n">
        <f aca="false">(('3_SOTP估值'!$E$33+'6_期权价值'!$F$22*(1+'1_输入与假设'!$C$10)^5)/B21)^(1/5)-1</f>
        <v>0.23960419848529</v>
      </c>
      <c r="G21" s="1" t="n">
        <f aca="false">D21*'1_输入与假设'!$C$49+E21*'1_输入与假设'!$D$49+F21*'1_输入与假设'!$E$49</f>
        <v>0.131994811352792</v>
      </c>
      <c r="H21" s="1" t="s">
        <v>143</v>
      </c>
    </row>
    <row r="22" customFormat="false" ht="15" hidden="false" customHeight="true" outlineLevel="0" collapsed="false">
      <c r="B22" s="1" t="n">
        <f aca="false">$C$8*0.85</f>
        <v>1287.1244</v>
      </c>
      <c r="C22" s="1" t="n">
        <v>-0.15</v>
      </c>
      <c r="D22" s="1" t="n">
        <f aca="false">(('3_SOTP估值'!$E$13+'6_期权价值'!$F$22*(1+'1_输入与假设'!$C$10)^5)/B22)^(1/5)-1</f>
        <v>-0.00607152425799373</v>
      </c>
      <c r="E22" s="1" t="n">
        <f aca="false">(('3_SOTP估值'!$E$23+'6_期权价值'!$F$22*(1+'1_输入与假设'!$C$10)^5)/B22)^(1/5)-1</f>
        <v>0.0726245252444047</v>
      </c>
      <c r="F22" s="1" t="n">
        <f aca="false">(('3_SOTP估值'!$E$33+'6_期权价值'!$F$22*(1+'1_输入与假设'!$C$10)^5)/B22)^(1/5)-1</f>
        <v>0.192391472204564</v>
      </c>
      <c r="G22" s="1" t="n">
        <f aca="false">D22*'1_输入与假设'!$C$49+E22*'1_输入与假设'!$D$49+F22*'1_输入与假设'!$E$49</f>
        <v>0.0888805969568529</v>
      </c>
      <c r="H22" s="1" t="s">
        <v>144</v>
      </c>
    </row>
    <row r="23" customFormat="false" ht="15" hidden="false" customHeight="true" outlineLevel="0" collapsed="false">
      <c r="B23" s="21" t="n">
        <f aca="false">$C$8*1</f>
        <v>1514.264</v>
      </c>
      <c r="C23" s="21" t="n">
        <v>0</v>
      </c>
      <c r="D23" s="21" t="n">
        <f aca="false">(('3_SOTP估值'!$E$13+'6_期权价值'!$F$22*(1+'1_输入与假设'!$C$10)^5)/B23)^(1/5)-1</f>
        <v>-0.0378585645328549</v>
      </c>
      <c r="E23" s="21" t="n">
        <f aca="false">(('3_SOTP估值'!$E$23+'6_期权价值'!$F$22*(1+'1_输入与假设'!$C$10)^5)/B23)^(1/5)-1</f>
        <v>0.038320689690952</v>
      </c>
      <c r="F23" s="21" t="n">
        <f aca="false">(('3_SOTP估值'!$E$33+'6_期权价值'!$F$22*(1+'1_输入与假设'!$C$10)^5)/B23)^(1/5)-1</f>
        <v>0.154257344170782</v>
      </c>
      <c r="G23" s="21" t="n">
        <f aca="false">D23*'1_输入与假设'!$C$49+E23*'1_输入与假设'!$D$49+F23*'1_输入与假设'!$E$49</f>
        <v>0.0540568724789494</v>
      </c>
      <c r="H23" s="22" t="s">
        <v>145</v>
      </c>
    </row>
    <row r="24" customFormat="false" ht="15" hidden="false" customHeight="true" outlineLevel="0" collapsed="false">
      <c r="B24" s="1" t="n">
        <f aca="false">$C$8*1.15</f>
        <v>1741.4036</v>
      </c>
      <c r="C24" s="1" t="n">
        <v>0.15</v>
      </c>
      <c r="D24" s="1" t="n">
        <f aca="false">(('3_SOTP估值'!$E$13+'6_期权价值'!$F$22*(1+'1_输入与假设'!$C$10)^5)/B24)^(1/5)-1</f>
        <v>-0.0643803157147777</v>
      </c>
      <c r="E24" s="1" t="n">
        <f aca="false">(('3_SOTP估值'!$E$23+'6_期权价值'!$F$22*(1+'1_输入与假设'!$C$10)^5)/B24)^(1/5)-1</f>
        <v>0.00969903183078991</v>
      </c>
      <c r="F24" s="1" t="n">
        <f aca="false">(('3_SOTP估值'!$E$33+'6_期权价值'!$F$22*(1+'1_输入与假设'!$C$10)^5)/B24)^(1/5)-1</f>
        <v>0.1224398535675</v>
      </c>
      <c r="G24" s="1" t="n">
        <f aca="false">D24*'1_输入与假设'!$C$49+E24*'1_输入与假设'!$D$49+F24*'1_输入与假设'!$E$49</f>
        <v>0.025001441465411</v>
      </c>
      <c r="H24" s="1" t="s">
        <v>146</v>
      </c>
    </row>
    <row r="25" customFormat="false" ht="15" hidden="false" customHeight="true" outlineLevel="0" collapsed="false">
      <c r="B25" s="1" t="n">
        <f aca="false">$C$8*1.3</f>
        <v>1968.5432</v>
      </c>
      <c r="C25" s="1" t="n">
        <v>0.3</v>
      </c>
      <c r="D25" s="1" t="n">
        <f aca="false">(('3_SOTP估值'!$E$13+'6_期权价值'!$F$22*(1+'1_输入与假设'!$C$10)^5)/B25)^(1/5)-1</f>
        <v>-0.087043157689944</v>
      </c>
      <c r="E25" s="1" t="n">
        <f aca="false">(('3_SOTP估值'!$E$23+'6_期权价值'!$F$22*(1+'1_输入与假设'!$C$10)^5)/B25)^(1/5)-1</f>
        <v>-0.014758180843547</v>
      </c>
      <c r="F25" s="1" t="n">
        <f aca="false">(('3_SOTP估值'!$E$33+'6_期权价值'!$F$22*(1+'1_输入与假设'!$C$10)^5)/B25)^(1/5)-1</f>
        <v>0.0952518011405541</v>
      </c>
      <c r="G25" s="1" t="n">
        <f aca="false">D25*'1_输入与假设'!$C$49+E25*'1_输入与假设'!$D$49+F25*'1_输入与假设'!$E$49</f>
        <v>0.000173569540084097</v>
      </c>
      <c r="H25" s="1" t="s">
        <v>147</v>
      </c>
    </row>
    <row r="26" customFormat="false" ht="15" hidden="false" customHeight="true" outlineLevel="0" collapsed="false">
      <c r="B26" s="1" t="n">
        <f aca="false">$C$8*1.5</f>
        <v>2271.396</v>
      </c>
      <c r="C26" s="1" t="n">
        <v>0.5</v>
      </c>
      <c r="D26" s="1" t="n">
        <f aca="false">(('3_SOTP估值'!$E$13+'6_期权价值'!$F$22*(1+'1_输入与假设'!$C$10)^5)/B26)^(1/5)-1</f>
        <v>-0.112801770391359</v>
      </c>
      <c r="E26" s="1" t="n">
        <f aca="false">(('3_SOTP估值'!$E$23+'6_期权价值'!$F$22*(1+'1_输入与假设'!$C$10)^5)/B26)^(1/5)-1</f>
        <v>-0.042556277380809</v>
      </c>
      <c r="F26" s="1" t="n">
        <f aca="false">(('3_SOTP估值'!$E$33+'6_期权价值'!$F$22*(1+'1_输入与假设'!$C$10)^5)/B26)^(1/5)-1</f>
        <v>0.0643498289457658</v>
      </c>
      <c r="G26" s="1" t="n">
        <f aca="false">D26*'1_输入与假设'!$C$49+E26*'1_输入与假设'!$D$49+F26*'1_输入与假设'!$E$49</f>
        <v>-0.0280458187354741</v>
      </c>
      <c r="H26" s="1" t="s">
        <v>148</v>
      </c>
    </row>
    <row r="28" customFormat="false" ht="15" hidden="false" customHeight="true" outlineLevel="0" collapsed="false">
      <c r="B28" s="3" t="s">
        <v>149</v>
      </c>
    </row>
    <row r="31" customFormat="false" ht="15" hidden="false" customHeight="true" outlineLevel="0" collapsed="false">
      <c r="B31" s="4" t="s">
        <v>150</v>
      </c>
    </row>
    <row r="33" customFormat="false" ht="15" hidden="false" customHeight="true" outlineLevel="0" collapsed="false">
      <c r="B33" s="9" t="s">
        <v>151</v>
      </c>
    </row>
    <row r="34" customFormat="false" ht="15" hidden="false" customHeight="true" outlineLevel="0" collapsed="false">
      <c r="B34" s="5" t="s">
        <v>113</v>
      </c>
      <c r="C34" s="1" t="n">
        <f aca="false">$C$8</f>
        <v>1514.264</v>
      </c>
    </row>
    <row r="35" customFormat="false" ht="15" hidden="false" customHeight="true" outlineLevel="0" collapsed="false">
      <c r="B35" s="5" t="s">
        <v>152</v>
      </c>
      <c r="C35" s="1" t="str">
        <f aca="false">IF(C8&lt;C9,"低于 Bear",IF(C8&lt;C10,"Bear-Base 区间",IF(C8&lt;C11,"Base-Bull 区间","超 Bull")))</f>
        <v>Base-Bull 区间</v>
      </c>
    </row>
    <row r="36" customFormat="false" ht="15" hidden="false" customHeight="true" outlineLevel="0" collapsed="false">
      <c r="B36" s="5" t="s">
        <v>153</v>
      </c>
      <c r="C36" s="1" t="n">
        <f aca="false">C8/C9-1</f>
        <v>1.99407186328656</v>
      </c>
    </row>
    <row r="37" customFormat="false" ht="15" hidden="false" customHeight="true" outlineLevel="0" collapsed="false">
      <c r="B37" s="5" t="s">
        <v>154</v>
      </c>
      <c r="C37" s="1" t="n">
        <f aca="false">C8/C10-1</f>
        <v>0.750071343001083</v>
      </c>
    </row>
    <row r="38" customFormat="false" ht="15" hidden="false" customHeight="true" outlineLevel="0" collapsed="false">
      <c r="B38" s="5" t="s">
        <v>155</v>
      </c>
      <c r="C38" s="1" t="n">
        <f aca="false">C8/C11-1</f>
        <v>-0.0861092494653704</v>
      </c>
    </row>
    <row r="39" customFormat="false" ht="15" hidden="false" customHeight="true" outlineLevel="0" collapsed="false">
      <c r="B39" s="5" t="s">
        <v>156</v>
      </c>
      <c r="C39" s="1" t="n">
        <f aca="false">C8/C12-1</f>
        <v>0.494997336324981</v>
      </c>
    </row>
    <row r="40" customFormat="false" ht="15" hidden="false" customHeight="true" outlineLevel="0" collapsed="false">
      <c r="B40" s="9" t="s">
        <v>157</v>
      </c>
      <c r="C40" s="19" t="n">
        <f aca="false">C8/C14-1</f>
        <v>0.180834871901288</v>
      </c>
    </row>
    <row r="42" customFormat="false" ht="15" hidden="false" customHeight="true" outlineLevel="0" collapsed="false">
      <c r="B42" s="9" t="s">
        <v>158</v>
      </c>
    </row>
    <row r="43" customFormat="false" ht="15" hidden="false" customHeight="true" outlineLevel="0" collapsed="false">
      <c r="B43" s="9" t="s">
        <v>159</v>
      </c>
      <c r="C43" s="9" t="s">
        <v>160</v>
      </c>
      <c r="D43" s="9" t="s">
        <v>161</v>
      </c>
    </row>
    <row r="44" customFormat="false" ht="15" hidden="false" customHeight="true" outlineLevel="0" collapsed="false">
      <c r="B44" s="1" t="s">
        <v>162</v>
      </c>
      <c r="C44" s="5" t="s">
        <v>163</v>
      </c>
      <c r="D44" s="5" t="s">
        <v>164</v>
      </c>
    </row>
    <row r="45" customFormat="false" ht="15" hidden="false" customHeight="true" outlineLevel="0" collapsed="false">
      <c r="B45" s="1" t="s">
        <v>165</v>
      </c>
      <c r="C45" s="5" t="s">
        <v>166</v>
      </c>
      <c r="D45" s="5" t="s">
        <v>167</v>
      </c>
    </row>
    <row r="46" customFormat="false" ht="15" hidden="false" customHeight="true" outlineLevel="0" collapsed="false">
      <c r="B46" s="1" t="s">
        <v>168</v>
      </c>
      <c r="C46" s="5" t="s">
        <v>169</v>
      </c>
      <c r="D46" s="5" t="s">
        <v>170</v>
      </c>
    </row>
    <row r="47" customFormat="false" ht="15" hidden="false" customHeight="true" outlineLevel="0" collapsed="false">
      <c r="B47" s="1" t="s">
        <v>171</v>
      </c>
      <c r="C47" s="5" t="s">
        <v>172</v>
      </c>
      <c r="D47" s="5" t="s">
        <v>173</v>
      </c>
    </row>
    <row r="48" customFormat="false" ht="15" hidden="false" customHeight="true" outlineLevel="0" collapsed="false">
      <c r="B48" s="1" t="s">
        <v>174</v>
      </c>
      <c r="C48" s="5" t="s">
        <v>175</v>
      </c>
      <c r="D48" s="5" t="s">
        <v>176</v>
      </c>
    </row>
    <row r="50" customFormat="false" ht="15" hidden="false" customHeight="true" outlineLevel="0" collapsed="false">
      <c r="B50" s="4" t="s">
        <v>177</v>
      </c>
    </row>
    <row r="51" customFormat="false" ht="15" hidden="false" customHeight="true" outlineLevel="0" collapsed="false">
      <c r="B51" s="19" t="str">
        <f aca="false">IF(C40&lt;-0.2,"⭐ 买入信号 - 估值显著低估",IF(C40&lt;-0.05,"✅ 合理买点 - 小幅低估",IF(C40&lt;0.05,"➖ 中性持有 - 基本 fair",IF(C40&lt;0.2,"⚠️ 警惕 - 部分透支 Bull","❌ 避免买入 - 估值显著透支"))))</f>
        <v>⚠️ 警惕 - 部分透支 Bull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8"/>
    <col collapsed="false" customWidth="true" hidden="false" outlineLevel="0" max="10" min="3" style="1" width="12"/>
  </cols>
  <sheetData>
    <row r="2" customFormat="false" ht="17.25" hidden="false" customHeight="true" outlineLevel="0" collapsed="false">
      <c r="B2" s="11" t="s">
        <v>178</v>
      </c>
    </row>
    <row r="5" customFormat="false" ht="15" hidden="false" customHeight="true" outlineLevel="0" collapsed="false">
      <c r="B5" s="4" t="s">
        <v>179</v>
      </c>
    </row>
    <row r="7" customFormat="false" ht="15" hidden="false" customHeight="true" outlineLevel="0" collapsed="false">
      <c r="B7" s="7" t="s">
        <v>18</v>
      </c>
      <c r="C7" s="8" t="s">
        <v>180</v>
      </c>
      <c r="D7" s="8" t="s">
        <v>181</v>
      </c>
      <c r="E7" s="8" t="s">
        <v>182</v>
      </c>
      <c r="F7" s="8" t="s">
        <v>183</v>
      </c>
      <c r="G7" s="8" t="s">
        <v>184</v>
      </c>
      <c r="H7" s="8" t="s">
        <v>185</v>
      </c>
      <c r="I7" s="8" t="s">
        <v>186</v>
      </c>
      <c r="J7" s="7" t="s">
        <v>187</v>
      </c>
    </row>
    <row r="8" customFormat="false" ht="15" hidden="false" customHeight="true" outlineLevel="0" collapsed="false">
      <c r="B8" s="1" t="s">
        <v>40</v>
      </c>
      <c r="C8" s="1" t="n">
        <v>12.93</v>
      </c>
      <c r="D8" s="1" t="n">
        <v>15.79</v>
      </c>
      <c r="E8" s="1" t="n">
        <v>20.36</v>
      </c>
      <c r="F8" s="1" t="n">
        <v>16.75</v>
      </c>
      <c r="G8" s="1" t="n">
        <v>15.47</v>
      </c>
      <c r="H8" s="1" t="n">
        <f aca="false">D8+E8+F8+G8</f>
        <v>68.37</v>
      </c>
      <c r="I8" s="1" t="n">
        <f aca="false">'1_输入与假设'!C19/4</f>
        <v>17.5925</v>
      </c>
      <c r="J8" s="1" t="n">
        <f aca="false">G8/I8-1</f>
        <v>-0.120648003410544</v>
      </c>
    </row>
    <row r="9" customFormat="false" ht="15" hidden="false" customHeight="true" outlineLevel="0" collapsed="false">
      <c r="B9" s="1" t="s">
        <v>188</v>
      </c>
      <c r="C9" s="1" t="n">
        <v>0.6</v>
      </c>
      <c r="D9" s="1" t="n">
        <v>0.44</v>
      </c>
      <c r="E9" s="1" t="n">
        <v>0.42</v>
      </c>
      <c r="F9" s="1" t="n">
        <v>0.54</v>
      </c>
      <c r="G9" s="1" t="n">
        <v>0.38</v>
      </c>
      <c r="H9" s="1" t="n">
        <f aca="false">D9+E9+F9+G9</f>
        <v>1.78</v>
      </c>
      <c r="I9" s="1" t="n">
        <f aca="false">'1_输入与假设'!C20/4</f>
        <v>0.445</v>
      </c>
      <c r="J9" s="1" t="n">
        <f aca="false">G9/I9-1</f>
        <v>-0.146067415730337</v>
      </c>
    </row>
    <row r="10" customFormat="false" ht="15" hidden="false" customHeight="true" outlineLevel="0" collapsed="false">
      <c r="B10" s="1" t="s">
        <v>27</v>
      </c>
      <c r="C10" s="1" t="n">
        <v>0.45</v>
      </c>
      <c r="D10" s="1" t="n">
        <v>0.44</v>
      </c>
      <c r="E10" s="1" t="n">
        <v>0.43</v>
      </c>
      <c r="F10" s="1" t="n">
        <v>0.4</v>
      </c>
      <c r="G10" s="1" t="n">
        <v>0.38</v>
      </c>
      <c r="H10" s="1" t="n">
        <f aca="false">D10+E10+F10+G10</f>
        <v>1.65</v>
      </c>
      <c r="I10" s="1" t="n">
        <f aca="false">'1_输入与假设'!C21/4</f>
        <v>0.4125</v>
      </c>
      <c r="J10" s="1" t="n">
        <f aca="false">G10/I10-1</f>
        <v>-0.0787878787878787</v>
      </c>
    </row>
    <row r="11" customFormat="false" ht="15" hidden="false" customHeight="true" outlineLevel="0" collapsed="false">
      <c r="B11" s="1" t="s">
        <v>44</v>
      </c>
      <c r="C11" s="1" t="n">
        <v>2.73</v>
      </c>
      <c r="D11" s="1" t="n">
        <v>2.79</v>
      </c>
      <c r="E11" s="1" t="n">
        <v>3.42</v>
      </c>
      <c r="F11" s="1" t="n">
        <v>3.84</v>
      </c>
      <c r="G11" s="1" t="n">
        <v>2.41</v>
      </c>
      <c r="H11" s="1" t="n">
        <f aca="false">D11+E11+F11+G11</f>
        <v>12.46</v>
      </c>
      <c r="I11" s="1" t="n">
        <f aca="false">'1_输入与假设'!C22/4</f>
        <v>3.1125</v>
      </c>
      <c r="J11" s="1" t="n">
        <f aca="false">G11/I11-1</f>
        <v>-0.22570281124498</v>
      </c>
    </row>
    <row r="12" customFormat="false" ht="15" hidden="false" customHeight="true" outlineLevel="0" collapsed="false">
      <c r="B12" s="1" t="s">
        <v>31</v>
      </c>
      <c r="C12" s="1" t="n">
        <v>2.64</v>
      </c>
      <c r="D12" s="1" t="n">
        <v>3.05</v>
      </c>
      <c r="E12" s="1" t="n">
        <v>3.48</v>
      </c>
      <c r="F12" s="1" t="n">
        <v>3.37</v>
      </c>
      <c r="G12" s="1" t="n">
        <v>3.75</v>
      </c>
      <c r="H12" s="1" t="n">
        <f aca="false">D12+E12+F12+G12</f>
        <v>13.65</v>
      </c>
      <c r="I12" s="1" t="n">
        <f aca="false">'1_输入与假设'!C23/4</f>
        <v>3.41</v>
      </c>
      <c r="J12" s="1" t="n">
        <f aca="false">G12/I12-1</f>
        <v>0.0997067448680351</v>
      </c>
    </row>
    <row r="13" customFormat="false" ht="15" hidden="false" customHeight="true" outlineLevel="0" collapsed="false">
      <c r="B13" s="9" t="s">
        <v>65</v>
      </c>
      <c r="C13" s="9" t="n">
        <f aca="false">SUM(C8:C12)</f>
        <v>19.35</v>
      </c>
      <c r="D13" s="9" t="n">
        <f aca="false">SUM(D8:D12)</f>
        <v>22.51</v>
      </c>
      <c r="E13" s="9" t="n">
        <f aca="false">SUM(E8:E12)</f>
        <v>28.11</v>
      </c>
      <c r="F13" s="9" t="n">
        <f aca="false">SUM(F8:F12)</f>
        <v>24.9</v>
      </c>
      <c r="G13" s="9" t="n">
        <f aca="false">SUM(G8:G12)</f>
        <v>22.39</v>
      </c>
      <c r="H13" s="9" t="n">
        <f aca="false">SUM(H8:H12)</f>
        <v>97.91</v>
      </c>
      <c r="I13" s="9" t="n">
        <f aca="false">SUM(I8:I12)</f>
        <v>24.9725</v>
      </c>
      <c r="J13" s="9" t="n">
        <f aca="false">G13/I13-1</f>
        <v>-0.103413755130644</v>
      </c>
    </row>
    <row r="15" customFormat="false" ht="15" hidden="false" customHeight="true" outlineLevel="0" collapsed="false">
      <c r="B15" s="4" t="s">
        <v>189</v>
      </c>
    </row>
    <row r="17" customFormat="false" ht="15" hidden="false" customHeight="true" outlineLevel="0" collapsed="false">
      <c r="B17" s="7" t="s">
        <v>190</v>
      </c>
      <c r="C17" s="8" t="s">
        <v>180</v>
      </c>
      <c r="D17" s="8" t="s">
        <v>181</v>
      </c>
      <c r="E17" s="8" t="s">
        <v>182</v>
      </c>
      <c r="F17" s="8" t="s">
        <v>183</v>
      </c>
      <c r="G17" s="8" t="s">
        <v>184</v>
      </c>
      <c r="H17" s="8" t="s">
        <v>191</v>
      </c>
    </row>
    <row r="18" customFormat="false" ht="15" hidden="false" customHeight="true" outlineLevel="0" collapsed="false">
      <c r="B18" s="5" t="s">
        <v>192</v>
      </c>
      <c r="C18" s="1" t="n">
        <v>19.34</v>
      </c>
      <c r="D18" s="1" t="n">
        <v>22.5</v>
      </c>
      <c r="E18" s="1" t="n">
        <v>28.1</v>
      </c>
      <c r="F18" s="1" t="n">
        <v>24.9</v>
      </c>
      <c r="G18" s="1" t="n">
        <v>22.39</v>
      </c>
      <c r="H18" s="1" t="n">
        <f aca="false">IF(C18=0,"n/m",G18/C18-1)</f>
        <v>0.15770423991727</v>
      </c>
    </row>
    <row r="19" customFormat="false" ht="15" hidden="false" customHeight="true" outlineLevel="0" collapsed="false">
      <c r="B19" s="5" t="s">
        <v>193</v>
      </c>
      <c r="C19" s="1" t="n">
        <v>16.3</v>
      </c>
      <c r="D19" s="1" t="n">
        <v>17.2</v>
      </c>
      <c r="E19" s="1" t="n">
        <v>18</v>
      </c>
      <c r="F19" s="1" t="n">
        <v>20.1</v>
      </c>
      <c r="G19" s="1" t="n">
        <v>21.1</v>
      </c>
      <c r="H19" s="1" t="n">
        <f aca="false">IF(C19=0,"n/m",G19/C19-1)</f>
        <v>0.294478527607362</v>
      </c>
    </row>
    <row r="20" customFormat="false" ht="15" hidden="false" customHeight="true" outlineLevel="0" collapsed="false">
      <c r="B20" s="5" t="s">
        <v>194</v>
      </c>
      <c r="C20" s="1" t="n">
        <v>2.1</v>
      </c>
      <c r="D20" s="1" t="n">
        <v>4.1</v>
      </c>
      <c r="E20" s="1" t="n">
        <v>5.8</v>
      </c>
      <c r="F20" s="1" t="n">
        <v>5.7</v>
      </c>
      <c r="G20" s="1" t="n">
        <v>4.2</v>
      </c>
      <c r="H20" s="1" t="n">
        <f aca="false">IF(C20=0,"n/m",G20/C20-1)</f>
        <v>1</v>
      </c>
    </row>
    <row r="21" customFormat="false" ht="15" hidden="false" customHeight="true" outlineLevel="0" collapsed="false">
      <c r="B21" s="1" t="s">
        <v>195</v>
      </c>
      <c r="C21" s="1" t="n">
        <v>2.81</v>
      </c>
      <c r="D21" s="1" t="n">
        <v>3.4</v>
      </c>
      <c r="E21" s="1" t="n">
        <v>4.23</v>
      </c>
      <c r="F21" s="1" t="n">
        <v>4.15</v>
      </c>
      <c r="G21" s="1" t="n">
        <v>3.67</v>
      </c>
      <c r="H21" s="1" t="n">
        <f aca="false">IF(C21=0,"n/m",G21/C21-1)</f>
        <v>0.306049822064057</v>
      </c>
    </row>
    <row r="22" customFormat="false" ht="15" hidden="false" customHeight="true" outlineLevel="0" collapsed="false">
      <c r="B22" s="1" t="s">
        <v>196</v>
      </c>
      <c r="C22" s="1" t="n">
        <v>0.12</v>
      </c>
      <c r="D22" s="1" t="n">
        <v>0.33</v>
      </c>
      <c r="E22" s="1" t="n">
        <v>0.39</v>
      </c>
      <c r="F22" s="1" t="n">
        <v>0.24</v>
      </c>
      <c r="G22" s="1" t="n">
        <v>0.13</v>
      </c>
      <c r="H22" s="1" t="n">
        <f aca="false">IF(C22=0,"n/m",G22/C22-1)</f>
        <v>0.0833333333333335</v>
      </c>
    </row>
    <row r="23" customFormat="false" ht="15" hidden="false" customHeight="true" outlineLevel="0" collapsed="false">
      <c r="B23" s="1" t="s">
        <v>197</v>
      </c>
      <c r="C23" s="1" t="n">
        <v>0.27</v>
      </c>
      <c r="D23" s="1" t="n">
        <v>0.4</v>
      </c>
      <c r="E23" s="1" t="n">
        <v>0.5</v>
      </c>
      <c r="F23" s="1" t="n">
        <v>0.5</v>
      </c>
      <c r="G23" s="1" t="n">
        <v>0.41</v>
      </c>
      <c r="H23" s="1" t="n">
        <f aca="false">IF(C23=0,"n/m",G23/C23-1)</f>
        <v>0.518518518518518</v>
      </c>
    </row>
    <row r="24" customFormat="false" ht="15" hidden="false" customHeight="true" outlineLevel="0" collapsed="false">
      <c r="B24" s="5" t="s">
        <v>198</v>
      </c>
      <c r="C24" s="1" t="n">
        <v>337</v>
      </c>
      <c r="D24" s="1" t="n">
        <v>384</v>
      </c>
      <c r="E24" s="1" t="n">
        <v>497</v>
      </c>
      <c r="F24" s="1" t="n">
        <v>418</v>
      </c>
      <c r="G24" s="1" t="n">
        <v>358</v>
      </c>
      <c r="H24" s="1" t="n">
        <f aca="false">IF(C24=0,"n/m",G24/C24-1)</f>
        <v>0.0623145400593472</v>
      </c>
    </row>
    <row r="25" customFormat="false" ht="15" hidden="false" customHeight="true" outlineLevel="0" collapsed="false">
      <c r="B25" s="1" t="s">
        <v>199</v>
      </c>
      <c r="C25" s="1" t="n">
        <v>0.85</v>
      </c>
      <c r="D25" s="1" t="n">
        <v>0.95</v>
      </c>
      <c r="E25" s="1" t="n">
        <v>1.04</v>
      </c>
      <c r="F25" s="1" t="n">
        <v>1.1</v>
      </c>
      <c r="G25" s="1" t="n">
        <v>1.28</v>
      </c>
      <c r="H25" s="1" t="n">
        <f aca="false">IF(C25=0,"n/m",G25/C25-1)</f>
        <v>0.505882352941176</v>
      </c>
    </row>
    <row r="26" customFormat="false" ht="15" hidden="false" customHeight="true" outlineLevel="0" collapsed="false">
      <c r="B26" s="5" t="s">
        <v>200</v>
      </c>
      <c r="C26" s="1" t="n">
        <v>10.4</v>
      </c>
      <c r="D26" s="1" t="n">
        <v>9.6</v>
      </c>
      <c r="E26" s="1" t="n">
        <v>12.5</v>
      </c>
      <c r="F26" s="1" t="n">
        <v>14.2</v>
      </c>
      <c r="G26" s="1" t="n">
        <v>8.8</v>
      </c>
      <c r="H26" s="1" t="n">
        <f aca="false">IF(C26=0,"n/m",G26/C26-1)</f>
        <v>-0.153846153846154</v>
      </c>
    </row>
    <row r="27" customFormat="false" ht="15" hidden="false" customHeight="true" outlineLevel="0" collapsed="false">
      <c r="B27" s="1" t="s">
        <v>201</v>
      </c>
      <c r="C27" s="1" t="n">
        <v>1.49</v>
      </c>
      <c r="D27" s="1" t="n">
        <v>2.39</v>
      </c>
      <c r="E27" s="1" t="n">
        <v>2.25</v>
      </c>
      <c r="F27" s="1" t="n">
        <v>2.39</v>
      </c>
      <c r="G27" s="1" t="n">
        <v>2.49</v>
      </c>
      <c r="H27" s="1" t="n">
        <f aca="false">IF(C27=0,"n/m",G27/C27-1)</f>
        <v>0.671140939597316</v>
      </c>
    </row>
    <row r="28" customFormat="false" ht="15" hidden="false" customHeight="true" outlineLevel="0" collapsed="false">
      <c r="B28" s="1" t="s">
        <v>202</v>
      </c>
      <c r="C28" s="1" t="n">
        <v>0.66</v>
      </c>
      <c r="D28" s="1" t="n">
        <v>0.15</v>
      </c>
      <c r="E28" s="1" t="n">
        <v>3.99</v>
      </c>
      <c r="F28" s="1" t="n">
        <v>1.42</v>
      </c>
      <c r="G28" s="1" t="n">
        <v>1.44</v>
      </c>
      <c r="H28" s="1" t="n">
        <f aca="false">IF(C28=0,"n/m",G28/C28-1)</f>
        <v>1.18181818181818</v>
      </c>
    </row>
    <row r="29" customFormat="false" ht="15" hidden="false" customHeight="true" outlineLevel="0" collapsed="false">
      <c r="B29" s="1" t="s">
        <v>203</v>
      </c>
      <c r="C29" s="1" t="n">
        <v>37</v>
      </c>
      <c r="D29" s="1" t="n">
        <v>36.8</v>
      </c>
      <c r="E29" s="1" t="n">
        <v>41.6</v>
      </c>
      <c r="F29" s="1" t="n">
        <v>44.1</v>
      </c>
      <c r="G29" s="1" t="n">
        <v>44.7</v>
      </c>
      <c r="H29" s="1" t="n">
        <f aca="false">IF(C29=0,"n/m",G29/C29-1)</f>
        <v>0.208108108108108</v>
      </c>
    </row>
    <row r="33" customFormat="false" ht="15" hidden="false" customHeight="true" outlineLevel="0" collapsed="false">
      <c r="B33" s="9" t="s">
        <v>204</v>
      </c>
    </row>
    <row r="34" customFormat="false" ht="15" hidden="false" customHeight="true" outlineLevel="0" collapsed="false">
      <c r="B34" s="1" t="s">
        <v>205</v>
      </c>
    </row>
    <row r="35" customFormat="false" ht="15" hidden="false" customHeight="true" outlineLevel="0" collapsed="false">
      <c r="B35" s="1" t="s">
        <v>206</v>
      </c>
    </row>
    <row r="36" customFormat="false" ht="15" hidden="false" customHeight="true" outlineLevel="0" collapsed="false">
      <c r="B36" s="1" t="s">
        <v>207</v>
      </c>
    </row>
    <row r="37" customFormat="false" ht="15" hidden="false" customHeight="true" outlineLevel="0" collapsed="false">
      <c r="B37" s="1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0"/>
    <col collapsed="false" customWidth="true" hidden="false" outlineLevel="0" max="3" min="3" style="1" width="35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70"/>
  </cols>
  <sheetData>
    <row r="2" customFormat="false" ht="17.25" hidden="false" customHeight="true" outlineLevel="0" collapsed="false">
      <c r="B2" s="23" t="s">
        <v>209</v>
      </c>
    </row>
    <row r="3" customFormat="false" ht="15" hidden="false" customHeight="true" outlineLevel="0" collapsed="false">
      <c r="B3" s="3" t="s">
        <v>210</v>
      </c>
    </row>
    <row r="5" customFormat="false" ht="15" hidden="false" customHeight="true" outlineLevel="0" collapsed="false">
      <c r="B5" s="4" t="s">
        <v>211</v>
      </c>
    </row>
    <row r="7" customFormat="false" ht="15" hidden="false" customHeight="true" outlineLevel="0" collapsed="false">
      <c r="B7" s="7" t="s">
        <v>212</v>
      </c>
      <c r="C7" s="7" t="s">
        <v>213</v>
      </c>
      <c r="D7" s="7" t="s">
        <v>214</v>
      </c>
      <c r="E7" s="8" t="s">
        <v>215</v>
      </c>
      <c r="F7" s="7" t="s">
        <v>216</v>
      </c>
      <c r="G7" s="7" t="s">
        <v>217</v>
      </c>
    </row>
    <row r="8" customFormat="false" ht="15" hidden="false" customHeight="true" outlineLevel="0" collapsed="false">
      <c r="B8" s="1" t="s">
        <v>218</v>
      </c>
      <c r="C8" s="1" t="s">
        <v>219</v>
      </c>
      <c r="D8" s="1" t="n">
        <v>500</v>
      </c>
      <c r="E8" s="1" t="n">
        <v>0.4</v>
      </c>
      <c r="F8" s="1" t="n">
        <f aca="false">D8*E8</f>
        <v>200</v>
      </c>
      <c r="G8" s="1" t="s">
        <v>220</v>
      </c>
    </row>
    <row r="9" customFormat="false" ht="15" hidden="false" customHeight="true" outlineLevel="0" collapsed="false">
      <c r="B9" s="1" t="s">
        <v>221</v>
      </c>
      <c r="C9" s="5" t="s">
        <v>222</v>
      </c>
      <c r="D9" s="1" t="n">
        <v>200</v>
      </c>
      <c r="E9" s="1" t="n">
        <v>0.6</v>
      </c>
      <c r="F9" s="1" t="n">
        <f aca="false">D9*E9</f>
        <v>120</v>
      </c>
      <c r="G9" s="5" t="s">
        <v>223</v>
      </c>
    </row>
    <row r="10" customFormat="false" ht="15" hidden="false" customHeight="true" outlineLevel="0" collapsed="false">
      <c r="B10" s="1" t="s">
        <v>224</v>
      </c>
      <c r="C10" s="5" t="s">
        <v>225</v>
      </c>
      <c r="D10" s="1" t="n">
        <v>100</v>
      </c>
      <c r="E10" s="1" t="n">
        <v>0.7</v>
      </c>
      <c r="F10" s="1" t="n">
        <f aca="false">D10*E10</f>
        <v>70</v>
      </c>
      <c r="G10" s="5" t="s">
        <v>226</v>
      </c>
    </row>
    <row r="11" customFormat="false" ht="15" hidden="false" customHeight="true" outlineLevel="0" collapsed="false">
      <c r="B11" s="1" t="s">
        <v>227</v>
      </c>
      <c r="C11" s="5" t="s">
        <v>228</v>
      </c>
      <c r="D11" s="1" t="n">
        <v>1000</v>
      </c>
      <c r="E11" s="1" t="n">
        <v>0.2</v>
      </c>
      <c r="F11" s="1" t="n">
        <f aca="false">D11*E11</f>
        <v>200</v>
      </c>
      <c r="G11" s="5" t="s">
        <v>229</v>
      </c>
    </row>
    <row r="12" customFormat="false" ht="15" hidden="false" customHeight="true" outlineLevel="0" collapsed="false">
      <c r="B12" s="1" t="s">
        <v>230</v>
      </c>
      <c r="C12" s="1" t="s">
        <v>231</v>
      </c>
      <c r="D12" s="1" t="n">
        <v>200</v>
      </c>
      <c r="E12" s="1" t="n">
        <v>0.15</v>
      </c>
      <c r="F12" s="1" t="n">
        <f aca="false">D12*E12</f>
        <v>30</v>
      </c>
      <c r="G12" s="5" t="s">
        <v>232</v>
      </c>
    </row>
    <row r="13" customFormat="false" ht="15" hidden="false" customHeight="true" outlineLevel="0" collapsed="false">
      <c r="B13" s="9" t="s">
        <v>233</v>
      </c>
      <c r="F13" s="14" t="n">
        <f aca="false">SUM(F8:F12)</f>
        <v>620</v>
      </c>
    </row>
    <row r="17" customFormat="false" ht="15" hidden="false" customHeight="true" outlineLevel="0" collapsed="false">
      <c r="B17" s="4" t="s">
        <v>234</v>
      </c>
    </row>
    <row r="19" customFormat="false" ht="15" hidden="false" customHeight="true" outlineLevel="0" collapsed="false">
      <c r="B19" s="5" t="s">
        <v>235</v>
      </c>
      <c r="C19" s="1" t="n">
        <v>0.7</v>
      </c>
      <c r="D19" s="5" t="s">
        <v>236</v>
      </c>
    </row>
    <row r="20" customFormat="false" ht="15" hidden="false" customHeight="true" outlineLevel="0" collapsed="false">
      <c r="B20" s="1" t="s">
        <v>237</v>
      </c>
      <c r="C20" s="1" t="n">
        <f aca="false">1/(1+0.1)^5</f>
        <v>0.620921323059155</v>
      </c>
      <c r="D20" s="5" t="s">
        <v>238</v>
      </c>
    </row>
    <row r="21" customFormat="false" ht="15" hidden="false" customHeight="true" outlineLevel="0" collapsed="false">
      <c r="B21" s="5" t="s">
        <v>239</v>
      </c>
      <c r="F21" s="9" t="n">
        <f aca="false">F13*C19*C20</f>
        <v>269.479854207673</v>
      </c>
    </row>
    <row r="22" customFormat="false" ht="15" hidden="false" customHeight="true" outlineLevel="0" collapsed="false">
      <c r="B22" s="20" t="s">
        <v>240</v>
      </c>
      <c r="F22" s="24" t="n">
        <f aca="false">F21</f>
        <v>269.479854207673</v>
      </c>
    </row>
    <row r="25" customFormat="false" ht="15" hidden="false" customHeight="true" outlineLevel="0" collapsed="false">
      <c r="B25" s="4" t="s">
        <v>241</v>
      </c>
    </row>
    <row r="26" customFormat="false" ht="15" hidden="false" customHeight="true" outlineLevel="0" collapsed="false">
      <c r="B26" s="9" t="s">
        <v>242</v>
      </c>
    </row>
    <row r="27" customFormat="false" ht="15" hidden="false" customHeight="true" outlineLevel="0" collapsed="false">
      <c r="B27" s="5" t="s">
        <v>243</v>
      </c>
    </row>
    <row r="28" customFormat="false" ht="15" hidden="false" customHeight="true" outlineLevel="0" collapsed="false">
      <c r="B28" s="1" t="s">
        <v>244</v>
      </c>
    </row>
    <row r="30" customFormat="false" ht="15" hidden="false" customHeight="true" outlineLevel="0" collapsed="false">
      <c r="B30" s="9" t="s">
        <v>245</v>
      </c>
    </row>
    <row r="31" customFormat="false" ht="15" hidden="false" customHeight="true" outlineLevel="0" collapsed="false">
      <c r="B31" s="1" t="s">
        <v>246</v>
      </c>
    </row>
    <row r="32" customFormat="false" ht="15" hidden="false" customHeight="true" outlineLevel="0" collapsed="false">
      <c r="B32" s="1" t="s">
        <v>247</v>
      </c>
    </row>
    <row r="33" customFormat="false" ht="15" hidden="false" customHeight="true" outlineLevel="0" collapsed="false">
      <c r="B33" s="1" t="s">
        <v>248</v>
      </c>
    </row>
    <row r="34" customFormat="false" ht="15" hidden="false" customHeight="true" outlineLevel="0" collapsed="false">
      <c r="B34" s="1" t="s">
        <v>249</v>
      </c>
    </row>
    <row r="36" customFormat="false" ht="15" hidden="false" customHeight="true" outlineLevel="0" collapsed="false">
      <c r="B36" s="9" t="s">
        <v>250</v>
      </c>
    </row>
    <row r="37" customFormat="false" ht="15" hidden="false" customHeight="true" outlineLevel="0" collapsed="false">
      <c r="B37" s="5" t="s">
        <v>251</v>
      </c>
    </row>
    <row r="38" customFormat="false" ht="15" hidden="false" customHeight="true" outlineLevel="0" collapsed="false">
      <c r="B38" s="1" t="s">
        <v>252</v>
      </c>
    </row>
    <row r="39" customFormat="false" ht="15" hidden="false" customHeight="true" outlineLevel="0" collapsed="false">
      <c r="B39" s="1" t="s">
        <v>253</v>
      </c>
    </row>
    <row r="40" customFormat="false" ht="15" hidden="false" customHeight="true" outlineLevel="0" collapsed="false">
      <c r="B40" s="1" t="s">
        <v>254</v>
      </c>
    </row>
    <row r="41" customFormat="false" ht="15" hidden="false" customHeight="true" outlineLevel="0" collapsed="false">
      <c r="B41" s="1" t="s">
        <v>255</v>
      </c>
    </row>
    <row r="42" customFormat="false" ht="15" hidden="false" customHeight="true" outlineLevel="0" collapsed="false">
      <c r="B42" s="5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2"/>
    <col collapsed="false" customWidth="true" hidden="false" outlineLevel="0" max="7" min="3" style="1" width="14"/>
    <col collapsed="false" customWidth="true" hidden="false" outlineLevel="0" max="8" min="8" style="1" width="38"/>
  </cols>
  <sheetData>
    <row r="2" customFormat="false" ht="17.25" hidden="false" customHeight="true" outlineLevel="0" collapsed="false">
      <c r="B2" s="25" t="s">
        <v>257</v>
      </c>
    </row>
    <row r="3" customFormat="false" ht="15" hidden="false" customHeight="true" outlineLevel="0" collapsed="false">
      <c r="B3" s="3" t="s">
        <v>258</v>
      </c>
    </row>
    <row r="5" customFormat="false" ht="15" hidden="false" customHeight="true" outlineLevel="0" collapsed="false">
      <c r="B5" s="26" t="s">
        <v>259</v>
      </c>
    </row>
    <row r="7" customFormat="false" ht="15" hidden="false" customHeight="true" outlineLevel="0" collapsed="false">
      <c r="B7" s="8" t="s">
        <v>260</v>
      </c>
      <c r="C7" s="8" t="s">
        <v>184</v>
      </c>
      <c r="D7" s="8" t="s">
        <v>261</v>
      </c>
      <c r="E7" s="8" t="s">
        <v>262</v>
      </c>
      <c r="F7" s="8" t="s">
        <v>263</v>
      </c>
      <c r="G7" s="7" t="s">
        <v>264</v>
      </c>
      <c r="H7" s="7" t="s">
        <v>20</v>
      </c>
    </row>
    <row r="8" customFormat="false" ht="15" hidden="false" customHeight="true" outlineLevel="0" collapsed="false">
      <c r="B8" s="5" t="s">
        <v>265</v>
      </c>
      <c r="C8" s="1" t="s">
        <v>266</v>
      </c>
      <c r="G8" s="1" t="s">
        <v>267</v>
      </c>
      <c r="H8" s="1" t="s">
        <v>268</v>
      </c>
    </row>
    <row r="9" customFormat="false" ht="15" hidden="false" customHeight="true" outlineLevel="0" collapsed="false">
      <c r="B9" s="5" t="s">
        <v>269</v>
      </c>
      <c r="C9" s="1" t="s">
        <v>270</v>
      </c>
      <c r="G9" s="1" t="s">
        <v>271</v>
      </c>
      <c r="H9" s="5" t="s">
        <v>272</v>
      </c>
    </row>
    <row r="10" customFormat="false" ht="15" hidden="false" customHeight="true" outlineLevel="0" collapsed="false">
      <c r="B10" s="1" t="s">
        <v>273</v>
      </c>
      <c r="C10" s="1" t="s">
        <v>274</v>
      </c>
      <c r="G10" s="5" t="s">
        <v>275</v>
      </c>
      <c r="H10" s="1" t="s">
        <v>276</v>
      </c>
    </row>
    <row r="11" customFormat="false" ht="15" hidden="false" customHeight="true" outlineLevel="0" collapsed="false">
      <c r="B11" s="5" t="s">
        <v>277</v>
      </c>
      <c r="C11" s="5" t="s">
        <v>278</v>
      </c>
      <c r="G11" s="1" t="s">
        <v>279</v>
      </c>
      <c r="H11" s="1" t="s">
        <v>280</v>
      </c>
    </row>
    <row r="12" customFormat="false" ht="15" hidden="false" customHeight="true" outlineLevel="0" collapsed="false">
      <c r="B12" s="5" t="s">
        <v>281</v>
      </c>
      <c r="C12" s="1" t="s">
        <v>282</v>
      </c>
      <c r="G12" s="5" t="s">
        <v>283</v>
      </c>
      <c r="H12" s="5" t="s">
        <v>284</v>
      </c>
    </row>
    <row r="13" customFormat="false" ht="15" hidden="false" customHeight="true" outlineLevel="0" collapsed="false">
      <c r="B13" s="5" t="s">
        <v>285</v>
      </c>
      <c r="C13" s="1" t="s">
        <v>286</v>
      </c>
      <c r="G13" s="1" t="s">
        <v>287</v>
      </c>
      <c r="H13" s="5" t="s">
        <v>288</v>
      </c>
    </row>
    <row r="16" customFormat="false" ht="15" hidden="false" customHeight="true" outlineLevel="0" collapsed="false">
      <c r="B16" s="26" t="s">
        <v>289</v>
      </c>
    </row>
    <row r="18" customFormat="false" ht="15" hidden="false" customHeight="true" outlineLevel="0" collapsed="false">
      <c r="B18" s="8" t="s">
        <v>260</v>
      </c>
      <c r="C18" s="8" t="s">
        <v>184</v>
      </c>
      <c r="D18" s="8" t="s">
        <v>261</v>
      </c>
      <c r="E18" s="8" t="s">
        <v>262</v>
      </c>
      <c r="F18" s="8" t="s">
        <v>263</v>
      </c>
      <c r="G18" s="7" t="s">
        <v>264</v>
      </c>
      <c r="H18" s="7" t="s">
        <v>20</v>
      </c>
    </row>
    <row r="19" customFormat="false" ht="15" hidden="false" customHeight="true" outlineLevel="0" collapsed="false">
      <c r="B19" s="5" t="s">
        <v>290</v>
      </c>
      <c r="C19" s="1" t="s">
        <v>291</v>
      </c>
      <c r="G19" s="5" t="s">
        <v>292</v>
      </c>
      <c r="H19" s="1" t="s">
        <v>293</v>
      </c>
    </row>
    <row r="20" customFormat="false" ht="15" hidden="false" customHeight="true" outlineLevel="0" collapsed="false">
      <c r="B20" s="5" t="s">
        <v>294</v>
      </c>
      <c r="C20" s="1" t="s">
        <v>295</v>
      </c>
      <c r="G20" s="1" t="s">
        <v>296</v>
      </c>
      <c r="H20" s="5" t="s">
        <v>297</v>
      </c>
    </row>
    <row r="21" customFormat="false" ht="15" hidden="false" customHeight="true" outlineLevel="0" collapsed="false">
      <c r="B21" s="5" t="s">
        <v>298</v>
      </c>
      <c r="C21" s="1" t="s">
        <v>299</v>
      </c>
      <c r="G21" s="5" t="s">
        <v>300</v>
      </c>
      <c r="H21" s="1" t="s">
        <v>301</v>
      </c>
    </row>
    <row r="22" customFormat="false" ht="15" hidden="false" customHeight="true" outlineLevel="0" collapsed="false">
      <c r="B22" s="5" t="s">
        <v>302</v>
      </c>
      <c r="C22" s="1" t="s">
        <v>286</v>
      </c>
      <c r="G22" s="1" t="s">
        <v>303</v>
      </c>
      <c r="H22" s="5" t="s">
        <v>304</v>
      </c>
    </row>
    <row r="23" customFormat="false" ht="15" hidden="false" customHeight="true" outlineLevel="0" collapsed="false">
      <c r="B23" s="5" t="s">
        <v>305</v>
      </c>
      <c r="C23" s="1" t="s">
        <v>286</v>
      </c>
      <c r="G23" s="5" t="s">
        <v>306</v>
      </c>
      <c r="H23" s="5" t="s">
        <v>307</v>
      </c>
    </row>
    <row r="24" customFormat="false" ht="15" hidden="false" customHeight="true" outlineLevel="0" collapsed="false">
      <c r="B24" s="5" t="s">
        <v>308</v>
      </c>
      <c r="C24" s="1" t="s">
        <v>286</v>
      </c>
      <c r="G24" s="1" t="s">
        <v>309</v>
      </c>
      <c r="H24" s="1" t="s">
        <v>310</v>
      </c>
    </row>
    <row r="27" customFormat="false" ht="15" hidden="false" customHeight="true" outlineLevel="0" collapsed="false">
      <c r="B27" s="26" t="s">
        <v>311</v>
      </c>
    </row>
    <row r="29" customFormat="false" ht="15" hidden="false" customHeight="true" outlineLevel="0" collapsed="false">
      <c r="B29" s="7" t="s">
        <v>190</v>
      </c>
      <c r="C29" s="8" t="s">
        <v>184</v>
      </c>
      <c r="D29" s="8" t="s">
        <v>261</v>
      </c>
      <c r="E29" s="8" t="s">
        <v>262</v>
      </c>
      <c r="F29" s="8" t="s">
        <v>263</v>
      </c>
      <c r="G29" s="7" t="s">
        <v>312</v>
      </c>
    </row>
    <row r="30" customFormat="false" ht="15" hidden="false" customHeight="true" outlineLevel="0" collapsed="false">
      <c r="B30" s="1" t="s">
        <v>313</v>
      </c>
      <c r="C30" s="1" t="s">
        <v>314</v>
      </c>
      <c r="G30" s="1" t="s">
        <v>315</v>
      </c>
    </row>
    <row r="31" customFormat="false" ht="15" hidden="false" customHeight="true" outlineLevel="0" collapsed="false">
      <c r="B31" s="1" t="s">
        <v>316</v>
      </c>
      <c r="C31" s="1" t="s">
        <v>314</v>
      </c>
      <c r="G31" s="1" t="s">
        <v>315</v>
      </c>
    </row>
    <row r="32" customFormat="false" ht="15" hidden="false" customHeight="true" outlineLevel="0" collapsed="false">
      <c r="B32" s="1" t="s">
        <v>317</v>
      </c>
      <c r="C32" s="1" t="s">
        <v>314</v>
      </c>
      <c r="G32" s="1" t="s">
        <v>318</v>
      </c>
    </row>
    <row r="33" customFormat="false" ht="15" hidden="false" customHeight="true" outlineLevel="0" collapsed="false">
      <c r="B33" s="5" t="s">
        <v>319</v>
      </c>
      <c r="C33" s="1" t="n">
        <v>8.8</v>
      </c>
      <c r="G33" s="1" t="s">
        <v>320</v>
      </c>
    </row>
    <row r="34" customFormat="false" ht="15" hidden="false" customHeight="true" outlineLevel="0" collapsed="false">
      <c r="B34" s="1" t="s">
        <v>321</v>
      </c>
      <c r="C34" s="1" t="n">
        <v>60</v>
      </c>
      <c r="G34" s="1" t="s">
        <v>322</v>
      </c>
    </row>
    <row r="37" customFormat="false" ht="15" hidden="false" customHeight="true" outlineLevel="0" collapsed="false">
      <c r="B37" s="26" t="s">
        <v>323</v>
      </c>
    </row>
    <row r="39" customFormat="false" ht="15" hidden="false" customHeight="true" outlineLevel="0" collapsed="false">
      <c r="B39" s="7" t="s">
        <v>190</v>
      </c>
      <c r="C39" s="7" t="s">
        <v>324</v>
      </c>
      <c r="D39" s="7" t="s">
        <v>312</v>
      </c>
      <c r="E39" s="7" t="s">
        <v>325</v>
      </c>
    </row>
    <row r="40" customFormat="false" ht="15" hidden="false" customHeight="true" outlineLevel="0" collapsed="false">
      <c r="B40" s="5" t="s">
        <v>326</v>
      </c>
      <c r="C40" s="1" t="s">
        <v>327</v>
      </c>
      <c r="D40" s="1" t="s">
        <v>328</v>
      </c>
      <c r="E40" s="1" t="s">
        <v>329</v>
      </c>
    </row>
    <row r="41" customFormat="false" ht="15" hidden="false" customHeight="true" outlineLevel="0" collapsed="false">
      <c r="B41" s="5" t="s">
        <v>330</v>
      </c>
      <c r="C41" s="1" t="s">
        <v>331</v>
      </c>
      <c r="D41" s="1" t="s">
        <v>332</v>
      </c>
      <c r="E41" s="1" t="s">
        <v>333</v>
      </c>
    </row>
    <row r="42" customFormat="false" ht="15" hidden="false" customHeight="true" outlineLevel="0" collapsed="false">
      <c r="B42" s="5" t="s">
        <v>334</v>
      </c>
      <c r="C42" s="5" t="s">
        <v>335</v>
      </c>
      <c r="D42" s="1" t="s">
        <v>336</v>
      </c>
      <c r="E42" s="5" t="s">
        <v>337</v>
      </c>
    </row>
    <row r="43" customFormat="false" ht="15" hidden="false" customHeight="true" outlineLevel="0" collapsed="false">
      <c r="B43" s="5" t="s">
        <v>338</v>
      </c>
      <c r="C43" s="1" t="s">
        <v>286</v>
      </c>
      <c r="D43" s="1" t="s">
        <v>339</v>
      </c>
      <c r="E43" s="5" t="s">
        <v>340</v>
      </c>
    </row>
    <row r="44" customFormat="false" ht="15" hidden="false" customHeight="true" outlineLevel="0" collapsed="false">
      <c r="B44" s="5" t="s">
        <v>341</v>
      </c>
      <c r="C44" s="1" t="s">
        <v>342</v>
      </c>
      <c r="D44" s="5" t="s">
        <v>343</v>
      </c>
      <c r="E44" s="5" t="s">
        <v>344</v>
      </c>
    </row>
    <row r="47" customFormat="false" ht="15" hidden="false" customHeight="true" outlineLevel="0" collapsed="false">
      <c r="B47" s="26" t="s">
        <v>345</v>
      </c>
    </row>
    <row r="49" customFormat="false" ht="15" hidden="false" customHeight="true" outlineLevel="0" collapsed="false">
      <c r="B49" s="7" t="s">
        <v>190</v>
      </c>
      <c r="C49" s="8" t="s">
        <v>184</v>
      </c>
      <c r="D49" s="7" t="s">
        <v>346</v>
      </c>
      <c r="E49" s="7" t="s">
        <v>347</v>
      </c>
    </row>
    <row r="50" customFormat="false" ht="15" hidden="false" customHeight="true" outlineLevel="0" collapsed="false">
      <c r="B50" s="1" t="s">
        <v>348</v>
      </c>
      <c r="C50" s="1" t="s">
        <v>349</v>
      </c>
      <c r="D50" s="1" t="s">
        <v>350</v>
      </c>
      <c r="E50" s="1" t="s">
        <v>351</v>
      </c>
    </row>
    <row r="51" customFormat="false" ht="15" hidden="false" customHeight="true" outlineLevel="0" collapsed="false">
      <c r="B51" s="1" t="s">
        <v>352</v>
      </c>
      <c r="C51" s="1" t="s">
        <v>353</v>
      </c>
      <c r="D51" s="1" t="s">
        <v>354</v>
      </c>
      <c r="E51" s="5" t="s">
        <v>355</v>
      </c>
    </row>
    <row r="52" customFormat="false" ht="15" hidden="false" customHeight="true" outlineLevel="0" collapsed="false">
      <c r="B52" s="1" t="s">
        <v>356</v>
      </c>
      <c r="C52" s="5" t="s">
        <v>357</v>
      </c>
      <c r="D52" s="5" t="s">
        <v>358</v>
      </c>
      <c r="E52" s="5" t="s">
        <v>359</v>
      </c>
    </row>
    <row r="53" customFormat="false" ht="15" hidden="false" customHeight="true" outlineLevel="0" collapsed="false">
      <c r="B53" s="1" t="s">
        <v>360</v>
      </c>
      <c r="C53" s="5" t="s">
        <v>361</v>
      </c>
      <c r="D53" s="1" t="s">
        <v>362</v>
      </c>
      <c r="E53" s="5" t="s">
        <v>363</v>
      </c>
    </row>
    <row r="54" customFormat="false" ht="15" hidden="false" customHeight="true" outlineLevel="0" collapsed="false">
      <c r="B54" s="1" t="s">
        <v>364</v>
      </c>
      <c r="C54" s="1" t="s">
        <v>365</v>
      </c>
      <c r="D54" s="1" t="s">
        <v>366</v>
      </c>
      <c r="E54" s="5" t="s">
        <v>367</v>
      </c>
    </row>
    <row r="57" customFormat="false" ht="15" hidden="false" customHeight="true" outlineLevel="0" collapsed="false">
      <c r="B57" s="4" t="s">
        <v>368</v>
      </c>
    </row>
    <row r="58" customFormat="false" ht="15" hidden="false" customHeight="true" outlineLevel="0" collapsed="false">
      <c r="B58" s="1" t="s">
        <v>369</v>
      </c>
    </row>
    <row r="59" customFormat="false" ht="15" hidden="false" customHeight="true" outlineLevel="0" collapsed="false">
      <c r="B59" s="1" t="s">
        <v>370</v>
      </c>
    </row>
    <row r="60" customFormat="false" ht="15" hidden="false" customHeight="true" outlineLevel="0" collapsed="false">
      <c r="B60" s="1" t="s">
        <v>371</v>
      </c>
    </row>
    <row r="61" customFormat="false" ht="15" hidden="false" customHeight="true" outlineLevel="0" collapsed="false">
      <c r="B61" s="1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35"/>
    <col collapsed="false" customWidth="true" hidden="false" outlineLevel="0" max="8" min="5" style="1" width="18"/>
  </cols>
  <sheetData>
    <row r="2" customFormat="false" ht="17.25" hidden="false" customHeight="true" outlineLevel="0" collapsed="false">
      <c r="B2" s="25" t="s">
        <v>373</v>
      </c>
    </row>
    <row r="3" customFormat="false" ht="15" hidden="false" customHeight="true" outlineLevel="0" collapsed="false">
      <c r="B3" s="3" t="s">
        <v>374</v>
      </c>
    </row>
    <row r="5" customFormat="false" ht="15" hidden="false" customHeight="true" outlineLevel="0" collapsed="false">
      <c r="B5" s="4" t="s">
        <v>375</v>
      </c>
    </row>
    <row r="7" customFormat="false" ht="15" hidden="false" customHeight="true" outlineLevel="0" collapsed="false">
      <c r="B7" s="5" t="s">
        <v>3</v>
      </c>
      <c r="C7" s="1" t="n">
        <f aca="false">'1_输入与假设'!C7</f>
        <v>428</v>
      </c>
      <c r="D7" s="5" t="s">
        <v>376</v>
      </c>
    </row>
    <row r="8" customFormat="false" ht="15" hidden="false" customHeight="true" outlineLevel="0" collapsed="false">
      <c r="B8" s="5" t="s">
        <v>377</v>
      </c>
      <c r="C8" s="1" t="n">
        <f aca="false">'1_输入与假设'!C8</f>
        <v>3.538</v>
      </c>
      <c r="D8" s="5" t="s">
        <v>376</v>
      </c>
    </row>
    <row r="9" customFormat="false" ht="15" hidden="false" customHeight="true" outlineLevel="0" collapsed="false">
      <c r="B9" s="5" t="s">
        <v>7</v>
      </c>
      <c r="C9" s="1" t="n">
        <f aca="false">'1_输入与假设'!C9</f>
        <v>1514.264</v>
      </c>
      <c r="D9" s="5" t="s">
        <v>378</v>
      </c>
    </row>
    <row r="10" customFormat="false" ht="15" hidden="false" customHeight="true" outlineLevel="0" collapsed="false">
      <c r="B10" s="5" t="s">
        <v>379</v>
      </c>
      <c r="C10" s="1" t="n">
        <f aca="false">'1_输入与假设'!C10</f>
        <v>0.1</v>
      </c>
      <c r="D10" s="5" t="s">
        <v>10</v>
      </c>
    </row>
    <row r="11" customFormat="false" ht="15" hidden="false" customHeight="true" outlineLevel="0" collapsed="false">
      <c r="B11" s="1" t="s">
        <v>380</v>
      </c>
      <c r="C11" s="1" t="n">
        <f aca="false">(1+C10)^5</f>
        <v>1.61051</v>
      </c>
      <c r="D11" s="5" t="s">
        <v>381</v>
      </c>
    </row>
    <row r="12" customFormat="false" ht="15" hidden="false" customHeight="true" outlineLevel="0" collapsed="false">
      <c r="B12" s="1" t="s">
        <v>382</v>
      </c>
      <c r="C12" s="6" t="n">
        <v>0.25</v>
      </c>
      <c r="D12" s="5" t="s">
        <v>383</v>
      </c>
    </row>
    <row r="13" customFormat="false" ht="15" hidden="false" customHeight="true" outlineLevel="0" collapsed="false">
      <c r="B13" s="5" t="s">
        <v>384</v>
      </c>
      <c r="C13" s="6" t="n">
        <v>0.4</v>
      </c>
      <c r="D13" s="5" t="s">
        <v>385</v>
      </c>
    </row>
    <row r="16" customFormat="false" ht="15" hidden="false" customHeight="true" outlineLevel="0" collapsed="false">
      <c r="B16" s="4" t="s">
        <v>386</v>
      </c>
    </row>
    <row r="18" customFormat="false" ht="15" hidden="false" customHeight="true" outlineLevel="0" collapsed="false">
      <c r="B18" s="7" t="s">
        <v>106</v>
      </c>
      <c r="C18" s="7" t="s">
        <v>108</v>
      </c>
      <c r="D18" s="7" t="s">
        <v>387</v>
      </c>
      <c r="E18" s="8" t="s">
        <v>388</v>
      </c>
      <c r="F18" s="8" t="s">
        <v>389</v>
      </c>
      <c r="G18" s="8" t="s">
        <v>390</v>
      </c>
    </row>
    <row r="19" customFormat="false" ht="15" hidden="false" customHeight="true" outlineLevel="0" collapsed="false">
      <c r="B19" s="1" t="s">
        <v>391</v>
      </c>
      <c r="C19" s="6" t="n">
        <v>2300</v>
      </c>
      <c r="D19" s="1" t="n">
        <f aca="false">C19/$C$8</f>
        <v>650.084793668739</v>
      </c>
      <c r="E19" s="1" t="n">
        <f aca="false">C19*$C$11</f>
        <v>3704.173</v>
      </c>
      <c r="F19" s="1" t="n">
        <f aca="false">E19/$C$8</f>
        <v>1046.96806105144</v>
      </c>
      <c r="G19" s="1" t="n">
        <f aca="false">E19/$C$9-1</f>
        <v>1.44618705853141</v>
      </c>
      <c r="H19" s="27" t="s">
        <v>392</v>
      </c>
    </row>
    <row r="20" customFormat="false" ht="15" hidden="false" customHeight="true" outlineLevel="0" collapsed="false">
      <c r="B20" s="1" t="s">
        <v>393</v>
      </c>
      <c r="C20" s="6" t="n">
        <v>1100</v>
      </c>
      <c r="D20" s="1" t="n">
        <f aca="false">C20/$C$8</f>
        <v>310.910118711136</v>
      </c>
      <c r="E20" s="1" t="n">
        <f aca="false">C20*$C$11</f>
        <v>1771.561</v>
      </c>
      <c r="F20" s="1" t="n">
        <f aca="false">E20/$C$8</f>
        <v>500.723855285472</v>
      </c>
      <c r="G20" s="1" t="n">
        <f aca="false">E20/$C$9-1</f>
        <v>0.169915549732412</v>
      </c>
      <c r="H20" s="1" t="s">
        <v>394</v>
      </c>
    </row>
    <row r="21" customFormat="false" ht="15" hidden="false" customHeight="true" outlineLevel="0" collapsed="false">
      <c r="B21" s="1" t="s">
        <v>395</v>
      </c>
      <c r="C21" s="6" t="n">
        <v>550</v>
      </c>
      <c r="D21" s="1" t="n">
        <f aca="false">C21/$C$8</f>
        <v>155.455059355568</v>
      </c>
      <c r="E21" s="1" t="n">
        <f aca="false">C21*$C$11</f>
        <v>885.7805</v>
      </c>
      <c r="F21" s="1" t="n">
        <f aca="false">E21/$C$8</f>
        <v>250.361927642736</v>
      </c>
      <c r="G21" s="1" t="n">
        <f aca="false">E21/$C$9-1</f>
        <v>-0.415042225133794</v>
      </c>
      <c r="H21" s="1" t="s">
        <v>396</v>
      </c>
    </row>
    <row r="23" customFormat="false" ht="15" hidden="false" customHeight="true" outlineLevel="0" collapsed="false">
      <c r="B23" s="28" t="s">
        <v>397</v>
      </c>
    </row>
    <row r="24" customFormat="false" ht="15" hidden="false" customHeight="true" outlineLevel="0" collapsed="false">
      <c r="B24" s="4" t="s">
        <v>398</v>
      </c>
    </row>
    <row r="26" customFormat="false" ht="15" hidden="false" customHeight="true" outlineLevel="0" collapsed="false">
      <c r="B26" s="1" t="s">
        <v>399</v>
      </c>
      <c r="C26" s="14" t="n">
        <f aca="false">(C9 - C20 + C12*(C20 - C21))/(C19 - C20)</f>
        <v>0.459803333333333</v>
      </c>
      <c r="D26" s="5" t="s">
        <v>400</v>
      </c>
    </row>
    <row r="27" customFormat="false" ht="15" hidden="false" customHeight="true" outlineLevel="0" collapsed="false">
      <c r="B27" s="5" t="s">
        <v>384</v>
      </c>
      <c r="C27" s="1" t="n">
        <f aca="false">C13</f>
        <v>0.4</v>
      </c>
    </row>
    <row r="28" customFormat="false" ht="15" hidden="false" customHeight="true" outlineLevel="0" collapsed="false">
      <c r="B28" s="5" t="s">
        <v>401</v>
      </c>
      <c r="C28" s="19" t="n">
        <f aca="false">C27-C26</f>
        <v>-0.0598033333333332</v>
      </c>
    </row>
    <row r="29" customFormat="false" ht="15" hidden="false" customHeight="true" outlineLevel="0" collapsed="false">
      <c r="B29" s="9" t="s">
        <v>402</v>
      </c>
      <c r="C29" s="29" t="str">
        <f aca="false">IF(C28&gt;=0.1,"⭐⭐ 强买入 - 明显 +EV",IF(C28&gt;=0.05,"⭐ 买入 - +EV",IF(C28&gt;=0,"✅ 边际买入 - 略 +EV",IF(C28&gt;=-0.05,"⚠️ 警惕 - 接近盈亏平衡",IF(C28&gt;=-0.15,"❌ 避免买入 - 明显 -EV","❌❌ 强避免 - 严重 -EV")))))</f>
        <v>❌ 避免买入 - 明显 -EV</v>
      </c>
    </row>
    <row r="32" customFormat="false" ht="15" hidden="false" customHeight="true" outlineLevel="0" collapsed="false">
      <c r="B32" s="4" t="s">
        <v>403</v>
      </c>
    </row>
    <row r="33" customFormat="false" ht="15" hidden="false" customHeight="true" outlineLevel="0" collapsed="false">
      <c r="B33" s="28" t="s">
        <v>404</v>
      </c>
    </row>
    <row r="35" customFormat="false" ht="15" hidden="false" customHeight="true" outlineLevel="0" collapsed="false">
      <c r="B35" s="8" t="s">
        <v>405</v>
      </c>
      <c r="C35" s="8" t="s">
        <v>406</v>
      </c>
      <c r="D35" s="8" t="s">
        <v>407</v>
      </c>
      <c r="E35" s="7" t="s">
        <v>408</v>
      </c>
      <c r="F35" s="7" t="s">
        <v>409</v>
      </c>
      <c r="G35" s="7" t="s">
        <v>410</v>
      </c>
      <c r="H35" s="7" t="s">
        <v>160</v>
      </c>
    </row>
    <row r="36" customFormat="false" ht="15" hidden="false" customHeight="true" outlineLevel="0" collapsed="false">
      <c r="B36" s="1" t="n">
        <v>0.2</v>
      </c>
      <c r="C36" s="1" t="n">
        <f aca="false">1-B36-D36</f>
        <v>0.55</v>
      </c>
      <c r="D36" s="1" t="n">
        <f aca="false">$C$12</f>
        <v>0.25</v>
      </c>
      <c r="E36" s="1" t="n">
        <f aca="false">B36*$C$19 + C36*$C$20 + D36*$C$21</f>
        <v>1202.5</v>
      </c>
      <c r="F36" s="1" t="n">
        <f aca="false">E36/$C$8</f>
        <v>339.881288863765</v>
      </c>
      <c r="G36" s="1" t="n">
        <f aca="false">$C$9/E36-1</f>
        <v>0.259263201663202</v>
      </c>
      <c r="H36" s="1" t="str">
        <f aca="false">IF(B36-$C$26&gt;=0.1,"⭐⭐ 强买入",IF(B36-$C$26&gt;=0.05,"⭐ 买入",IF(B36-$C$26&gt;=0,"✅ 边际买入",IF(B36-$C$26&gt;=-0.05,"⚠️ 警惕",IF(B36-$C$26&gt;=-0.15,"❌ 避免","❌❌ 强避免")))))</f>
        <v>❌❌ 强避免</v>
      </c>
    </row>
    <row r="37" customFormat="false" ht="15" hidden="false" customHeight="true" outlineLevel="0" collapsed="false">
      <c r="B37" s="1" t="n">
        <v>0.25</v>
      </c>
      <c r="C37" s="1" t="n">
        <f aca="false">1-B37-D37</f>
        <v>0.5</v>
      </c>
      <c r="D37" s="1" t="n">
        <f aca="false">$C$12</f>
        <v>0.25</v>
      </c>
      <c r="E37" s="1" t="n">
        <f aca="false">B37*$C$19 + C37*$C$20 + D37*$C$21</f>
        <v>1262.5</v>
      </c>
      <c r="F37" s="1" t="n">
        <f aca="false">E37/$C$8</f>
        <v>356.840022611645</v>
      </c>
      <c r="G37" s="1" t="n">
        <f aca="false">$C$9/E37-1</f>
        <v>0.19941702970297</v>
      </c>
      <c r="H37" s="1" t="str">
        <f aca="false">IF(B37-$C$26&gt;=0.1,"⭐⭐ 强买入",IF(B37-$C$26&gt;=0.05,"⭐ 买入",IF(B37-$C$26&gt;=0,"✅ 边际买入",IF(B37-$C$26&gt;=-0.05,"⚠️ 警惕",IF(B37-$C$26&gt;=-0.15,"❌ 避免","❌❌ 强避免")))))</f>
        <v>❌❌ 强避免</v>
      </c>
    </row>
    <row r="38" customFormat="false" ht="15" hidden="false" customHeight="true" outlineLevel="0" collapsed="false">
      <c r="B38" s="1" t="n">
        <v>0.3</v>
      </c>
      <c r="C38" s="1" t="n">
        <f aca="false">1-B38-D38</f>
        <v>0.45</v>
      </c>
      <c r="D38" s="1" t="n">
        <f aca="false">$C$12</f>
        <v>0.25</v>
      </c>
      <c r="E38" s="1" t="n">
        <f aca="false">B38*$C$19 + C38*$C$20 + D38*$C$21</f>
        <v>1322.5</v>
      </c>
      <c r="F38" s="1" t="n">
        <f aca="false">E38/$C$8</f>
        <v>373.798756359525</v>
      </c>
      <c r="G38" s="1" t="n">
        <f aca="false">$C$9/E38-1</f>
        <v>0.145001134215501</v>
      </c>
      <c r="H38" s="1" t="str">
        <f aca="false">IF(B38-$C$26&gt;=0.1,"⭐⭐ 强买入",IF(B38-$C$26&gt;=0.05,"⭐ 买入",IF(B38-$C$26&gt;=0,"✅ 边际买入",IF(B38-$C$26&gt;=-0.05,"⚠️ 警惕",IF(B38-$C$26&gt;=-0.15,"❌ 避免","❌❌ 强避免")))))</f>
        <v>❌❌ 强避免</v>
      </c>
    </row>
    <row r="39" customFormat="false" ht="15" hidden="false" customHeight="true" outlineLevel="0" collapsed="false">
      <c r="B39" s="1" t="n">
        <v>0.35</v>
      </c>
      <c r="C39" s="1" t="n">
        <f aca="false">1-B39-D39</f>
        <v>0.4</v>
      </c>
      <c r="D39" s="1" t="n">
        <f aca="false">$C$12</f>
        <v>0.25</v>
      </c>
      <c r="E39" s="1" t="n">
        <f aca="false">B39*$C$19 + C39*$C$20 + D39*$C$21</f>
        <v>1382.5</v>
      </c>
      <c r="F39" s="1" t="n">
        <f aca="false">E39/$C$8</f>
        <v>390.757490107405</v>
      </c>
      <c r="G39" s="1" t="n">
        <f aca="false">$C$9/E39-1</f>
        <v>0.0953084990958408</v>
      </c>
      <c r="H39" s="1" t="str">
        <f aca="false">IF(B39-$C$26&gt;=0.1,"⭐⭐ 强买入",IF(B39-$C$26&gt;=0.05,"⭐ 买入",IF(B39-$C$26&gt;=0,"✅ 边际买入",IF(B39-$C$26&gt;=-0.05,"⚠️ 警惕",IF(B39-$C$26&gt;=-0.15,"❌ 避免","❌❌ 强避免")))))</f>
        <v>❌ 避免</v>
      </c>
    </row>
    <row r="40" customFormat="false" ht="15" hidden="false" customHeight="true" outlineLevel="0" collapsed="false">
      <c r="B40" s="21" t="n">
        <v>0.4</v>
      </c>
      <c r="C40" s="21" t="n">
        <f aca="false">1-B40-D40</f>
        <v>0.35</v>
      </c>
      <c r="D40" s="21" t="n">
        <f aca="false">$C$12</f>
        <v>0.25</v>
      </c>
      <c r="E40" s="21" t="n">
        <f aca="false">B40*$C$19 + C40*$C$20 + D40*$C$21</f>
        <v>1442.5</v>
      </c>
      <c r="F40" s="21" t="n">
        <f aca="false">E40/$C$8</f>
        <v>407.716223855286</v>
      </c>
      <c r="G40" s="21" t="n">
        <f aca="false">$C$9/E40-1</f>
        <v>0.049749740034662</v>
      </c>
      <c r="H40" s="21" t="str">
        <f aca="false">IF(B40-$C$26&gt;=0.1,"⭐⭐ 强买入",IF(B40-$C$26&gt;=0.05,"⭐ 买入",IF(B40-$C$26&gt;=0,"✅ 边际买入",IF(B40-$C$26&gt;=-0.05,"⚠️ 警惕",IF(B40-$C$26&gt;=-0.15,"❌ 避免","❌❌ 强避免")))))</f>
        <v>❌ 避免</v>
      </c>
    </row>
    <row r="41" customFormat="false" ht="15" hidden="false" customHeight="true" outlineLevel="0" collapsed="false">
      <c r="B41" s="1" t="n">
        <v>0.45</v>
      </c>
      <c r="C41" s="1" t="n">
        <f aca="false">1-B41-D41</f>
        <v>0.3</v>
      </c>
      <c r="D41" s="1" t="n">
        <f aca="false">$C$12</f>
        <v>0.25</v>
      </c>
      <c r="E41" s="1" t="n">
        <f aca="false">B41*$C$19 + C41*$C$20 + D41*$C$21</f>
        <v>1502.5</v>
      </c>
      <c r="F41" s="1" t="n">
        <f aca="false">E41/$C$8</f>
        <v>424.674957603166</v>
      </c>
      <c r="G41" s="1" t="n">
        <f aca="false">$C$9/E41-1</f>
        <v>0.0078296173044925</v>
      </c>
      <c r="H41" s="1" t="str">
        <f aca="false">IF(B41-$C$26&gt;=0.1,"⭐⭐ 强买入",IF(B41-$C$26&gt;=0.05,"⭐ 买入",IF(B41-$C$26&gt;=0,"✅ 边际买入",IF(B41-$C$26&gt;=-0.05,"⚠️ 警惕",IF(B41-$C$26&gt;=-0.15,"❌ 避免","❌❌ 强避免")))))</f>
        <v>⚠️ 警惕</v>
      </c>
    </row>
    <row r="42" customFormat="false" ht="15" hidden="false" customHeight="true" outlineLevel="0" collapsed="false">
      <c r="B42" s="1" t="n">
        <v>0.5</v>
      </c>
      <c r="C42" s="1" t="n">
        <f aca="false">1-B42-D42</f>
        <v>0.25</v>
      </c>
      <c r="D42" s="1" t="n">
        <f aca="false">$C$12</f>
        <v>0.25</v>
      </c>
      <c r="E42" s="1" t="n">
        <f aca="false">B42*$C$19 + C42*$C$20 + D42*$C$21</f>
        <v>1562.5</v>
      </c>
      <c r="F42" s="1" t="n">
        <f aca="false">E42/$C$8</f>
        <v>441.633691351046</v>
      </c>
      <c r="G42" s="1" t="n">
        <f aca="false">$C$9/E42-1</f>
        <v>-0.0308710400000001</v>
      </c>
      <c r="H42" s="1" t="str">
        <f aca="false">IF(B42-$C$26&gt;=0.1,"⭐⭐ 强买入",IF(B42-$C$26&gt;=0.05,"⭐ 买入",IF(B42-$C$26&gt;=0,"✅ 边际买入",IF(B42-$C$26&gt;=-0.05,"⚠️ 警惕",IF(B42-$C$26&gt;=-0.15,"❌ 避免","❌❌ 强避免")))))</f>
        <v>✅ 边际买入</v>
      </c>
    </row>
    <row r="43" customFormat="false" ht="15" hidden="false" customHeight="true" outlineLevel="0" collapsed="false">
      <c r="B43" s="1" t="n">
        <v>0.55</v>
      </c>
      <c r="C43" s="1" t="n">
        <f aca="false">1-B43-D43</f>
        <v>0.2</v>
      </c>
      <c r="D43" s="1" t="n">
        <f aca="false">$C$12</f>
        <v>0.25</v>
      </c>
      <c r="E43" s="1" t="n">
        <f aca="false">B43*$C$19 + C43*$C$20 + D43*$C$21</f>
        <v>1622.5</v>
      </c>
      <c r="F43" s="1" t="n">
        <f aca="false">E43/$C$8</f>
        <v>458.592425098926</v>
      </c>
      <c r="G43" s="1" t="n">
        <f aca="false">$C$9/E43-1</f>
        <v>-0.0667093990755009</v>
      </c>
      <c r="H43" s="1" t="str">
        <f aca="false">IF(B43-$C$26&gt;=0.1,"⭐⭐ 强买入",IF(B43-$C$26&gt;=0.05,"⭐ 买入",IF(B43-$C$26&gt;=0,"✅ 边际买入",IF(B43-$C$26&gt;=-0.05,"⚠️ 警惕",IF(B43-$C$26&gt;=-0.15,"❌ 避免","❌❌ 强避免")))))</f>
        <v>⭐ 买入</v>
      </c>
    </row>
    <row r="44" customFormat="false" ht="15" hidden="false" customHeight="true" outlineLevel="0" collapsed="false">
      <c r="B44" s="1" t="n">
        <v>0.6</v>
      </c>
      <c r="C44" s="1" t="n">
        <f aca="false">1-B44-D44</f>
        <v>0.15</v>
      </c>
      <c r="D44" s="1" t="n">
        <f aca="false">$C$12</f>
        <v>0.25</v>
      </c>
      <c r="E44" s="1" t="n">
        <f aca="false">B44*$C$19 + C44*$C$20 + D44*$C$21</f>
        <v>1682.5</v>
      </c>
      <c r="F44" s="1" t="n">
        <f aca="false">E44/$C$8</f>
        <v>475.551158846806</v>
      </c>
      <c r="G44" s="1" t="n">
        <f aca="false">$C$9/E44-1</f>
        <v>-0.0999916790490343</v>
      </c>
      <c r="H44" s="1" t="str">
        <f aca="false">IF(B44-$C$26&gt;=0.1,"⭐⭐ 强买入",IF(B44-$C$26&gt;=0.05,"⭐ 买入",IF(B44-$C$26&gt;=0,"✅ 边际买入",IF(B44-$C$26&gt;=-0.05,"⚠️ 警惕",IF(B44-$C$26&gt;=-0.15,"❌ 避免","❌❌ 强避免")))))</f>
        <v>⭐⭐ 强买入</v>
      </c>
    </row>
    <row r="45" customFormat="false" ht="15" hidden="false" customHeight="true" outlineLevel="0" collapsed="false">
      <c r="B45" s="1" t="n">
        <v>0.65</v>
      </c>
      <c r="C45" s="1" t="n">
        <f aca="false">1-B45-D45</f>
        <v>0.1</v>
      </c>
      <c r="D45" s="1" t="n">
        <f aca="false">$C$12</f>
        <v>0.25</v>
      </c>
      <c r="E45" s="1" t="n">
        <f aca="false">B45*$C$19 + C45*$C$20 + D45*$C$21</f>
        <v>1742.5</v>
      </c>
      <c r="F45" s="1" t="n">
        <f aca="false">E45/$C$8</f>
        <v>492.509892594686</v>
      </c>
      <c r="G45" s="1" t="n">
        <f aca="false">$C$9/E45-1</f>
        <v>-0.130981922525108</v>
      </c>
      <c r="H45" s="1" t="str">
        <f aca="false">IF(B45-$C$26&gt;=0.1,"⭐⭐ 强买入",IF(B45-$C$26&gt;=0.05,"⭐ 买入",IF(B45-$C$26&gt;=0,"✅ 边际买入",IF(B45-$C$26&gt;=-0.05,"⚠️ 警惕",IF(B45-$C$26&gt;=-0.15,"❌ 避免","❌❌ 强避免")))))</f>
        <v>⭐⭐ 强买入</v>
      </c>
    </row>
    <row r="46" customFormat="false" ht="15" hidden="false" customHeight="true" outlineLevel="0" collapsed="false">
      <c r="B46" s="1" t="n">
        <v>0.7</v>
      </c>
      <c r="C46" s="1" t="n">
        <f aca="false">1-B46-D46</f>
        <v>0.05</v>
      </c>
      <c r="D46" s="1" t="n">
        <f aca="false">$C$12</f>
        <v>0.25</v>
      </c>
      <c r="E46" s="1" t="n">
        <f aca="false">B46*$C$19 + C46*$C$20 + D46*$C$21</f>
        <v>1802.5</v>
      </c>
      <c r="F46" s="1" t="n">
        <f aca="false">E46/$C$8</f>
        <v>509.468626342566</v>
      </c>
      <c r="G46" s="1" t="n">
        <f aca="false">$C$9/E46-1</f>
        <v>-0.159909015256588</v>
      </c>
      <c r="H46" s="1" t="str">
        <f aca="false">IF(B46-$C$26&gt;=0.1,"⭐⭐ 强买入",IF(B46-$C$26&gt;=0.05,"⭐ 买入",IF(B46-$C$26&gt;=0,"✅ 边际买入",IF(B46-$C$26&gt;=-0.05,"⚠️ 警惕",IF(B46-$C$26&gt;=-0.15,"❌ 避免","❌❌ 强避免")))))</f>
        <v>⭐⭐ 强买入</v>
      </c>
    </row>
    <row r="49" customFormat="false" ht="15" hidden="false" customHeight="true" outlineLevel="0" collapsed="false">
      <c r="B49" s="4" t="s">
        <v>411</v>
      </c>
    </row>
    <row r="50" customFormat="false" ht="15" hidden="false" customHeight="true" outlineLevel="0" collapsed="false">
      <c r="B50" s="28" t="s">
        <v>412</v>
      </c>
    </row>
    <row r="52" customFormat="false" ht="15" hidden="false" customHeight="true" outlineLevel="0" collapsed="false">
      <c r="B52" s="7" t="s">
        <v>413</v>
      </c>
      <c r="C52" s="7" t="s">
        <v>414</v>
      </c>
      <c r="D52" s="7" t="s">
        <v>415</v>
      </c>
      <c r="E52" s="7" t="s">
        <v>416</v>
      </c>
      <c r="F52" s="7" t="s">
        <v>417</v>
      </c>
    </row>
    <row r="53" customFormat="false" ht="15" hidden="false" customHeight="true" outlineLevel="0" collapsed="false">
      <c r="B53" s="1" t="n">
        <f aca="false">$C$7*0.5</f>
        <v>214</v>
      </c>
      <c r="C53" s="1" t="n">
        <f aca="false">B53*$C$8</f>
        <v>757.132</v>
      </c>
      <c r="D53" s="1" t="n">
        <f aca="false">(C53-$C$20+$C$12*($C$20-$C$21))/($C$19-$C$20)</f>
        <v>-0.17114</v>
      </c>
      <c r="E53" s="1" t="str">
        <f aca="false">IF(D53&lt;=$C$13-0.1,"✓✓ P(A) 远远够",IF(D53&lt;=$C$13,"✓ P(A) 够",IF(D53&lt;=$C$13+0.05,"⚠ P(A) 略不够","✗ P(A) 不够")))</f>
        <v>✓✓ P(A) 远远够</v>
      </c>
      <c r="F53" s="1" t="str">
        <f aca="false">IF($C$13-D53&gt;=0.1,"⭐⭐ 强买入",IF($C$13-D53&gt;=0.05,"⭐ 买入",IF($C$13-D53&gt;=0,"✅ 边际买入",IF($C$13-D53&gt;=-0.05,"⚠️ 警惕",IF($C$13-D53&gt;=-0.15,"❌ 避免","❌❌ 强避免")))))</f>
        <v>⭐⭐ 强买入</v>
      </c>
    </row>
    <row r="54" customFormat="false" ht="15" hidden="false" customHeight="true" outlineLevel="0" collapsed="false">
      <c r="B54" s="1" t="n">
        <f aca="false">$C$7*0.6</f>
        <v>256.8</v>
      </c>
      <c r="C54" s="1" t="n">
        <f aca="false">B54*$C$8</f>
        <v>908.5584</v>
      </c>
      <c r="D54" s="1" t="n">
        <f aca="false">(C54-$C$20+$C$12*($C$20-$C$21))/($C$19-$C$20)</f>
        <v>-0.0449513333333333</v>
      </c>
      <c r="E54" s="1" t="str">
        <f aca="false">IF(D54&lt;=$C$13-0.1,"✓✓ P(A) 远远够",IF(D54&lt;=$C$13,"✓ P(A) 够",IF(D54&lt;=$C$13+0.05,"⚠ P(A) 略不够","✗ P(A) 不够")))</f>
        <v>✓✓ P(A) 远远够</v>
      </c>
      <c r="F54" s="1" t="str">
        <f aca="false">IF($C$13-D54&gt;=0.1,"⭐⭐ 强买入",IF($C$13-D54&gt;=0.05,"⭐ 买入",IF($C$13-D54&gt;=0,"✅ 边际买入",IF($C$13-D54&gt;=-0.05,"⚠️ 警惕",IF($C$13-D54&gt;=-0.15,"❌ 避免","❌❌ 强避免")))))</f>
        <v>⭐⭐ 强买入</v>
      </c>
    </row>
    <row r="55" customFormat="false" ht="15" hidden="false" customHeight="true" outlineLevel="0" collapsed="false">
      <c r="B55" s="1" t="n">
        <f aca="false">$C$7*0.7</f>
        <v>299.6</v>
      </c>
      <c r="C55" s="1" t="n">
        <f aca="false">B55*$C$8</f>
        <v>1059.9848</v>
      </c>
      <c r="D55" s="1" t="n">
        <f aca="false">(C55-$C$20+$C$12*($C$20-$C$21))/($C$19-$C$20)</f>
        <v>0.0812373333333331</v>
      </c>
      <c r="E55" s="1" t="str">
        <f aca="false">IF(D55&lt;=$C$13-0.1,"✓✓ P(A) 远远够",IF(D55&lt;=$C$13,"✓ P(A) 够",IF(D55&lt;=$C$13+0.05,"⚠ P(A) 略不够","✗ P(A) 不够")))</f>
        <v>✓✓ P(A) 远远够</v>
      </c>
      <c r="F55" s="1" t="str">
        <f aca="false">IF($C$13-D55&gt;=0.1,"⭐⭐ 强买入",IF($C$13-D55&gt;=0.05,"⭐ 买入",IF($C$13-D55&gt;=0,"✅ 边际买入",IF($C$13-D55&gt;=-0.05,"⚠️ 警惕",IF($C$13-D55&gt;=-0.15,"❌ 避免","❌❌ 强避免")))))</f>
        <v>⭐⭐ 强买入</v>
      </c>
    </row>
    <row r="56" customFormat="false" ht="15" hidden="false" customHeight="true" outlineLevel="0" collapsed="false">
      <c r="B56" s="1" t="n">
        <f aca="false">$C$7*0.8</f>
        <v>342.4</v>
      </c>
      <c r="C56" s="1" t="n">
        <f aca="false">B56*$C$8</f>
        <v>1211.4112</v>
      </c>
      <c r="D56" s="1" t="n">
        <f aca="false">(C56-$C$20+$C$12*($C$20-$C$21))/($C$19-$C$20)</f>
        <v>0.207426</v>
      </c>
      <c r="E56" s="1" t="str">
        <f aca="false">IF(D56&lt;=$C$13-0.1,"✓✓ P(A) 远远够",IF(D56&lt;=$C$13,"✓ P(A) 够",IF(D56&lt;=$C$13+0.05,"⚠ P(A) 略不够","✗ P(A) 不够")))</f>
        <v>✓✓ P(A) 远远够</v>
      </c>
      <c r="F56" s="1" t="str">
        <f aca="false">IF($C$13-D56&gt;=0.1,"⭐⭐ 强买入",IF($C$13-D56&gt;=0.05,"⭐ 买入",IF($C$13-D56&gt;=0,"✅ 边际买入",IF($C$13-D56&gt;=-0.05,"⚠️ 警惕",IF($C$13-D56&gt;=-0.15,"❌ 避免","❌❌ 强避免")))))</f>
        <v>⭐⭐ 强买入</v>
      </c>
    </row>
    <row r="57" customFormat="false" ht="15" hidden="false" customHeight="true" outlineLevel="0" collapsed="false">
      <c r="B57" s="1" t="n">
        <f aca="false">$C$7*0.9</f>
        <v>385.2</v>
      </c>
      <c r="C57" s="1" t="n">
        <f aca="false">B57*$C$8</f>
        <v>1362.8376</v>
      </c>
      <c r="D57" s="1" t="n">
        <f aca="false">(C57-$C$20+$C$12*($C$20-$C$21))/($C$19-$C$20)</f>
        <v>0.333614666666667</v>
      </c>
      <c r="E57" s="1" t="str">
        <f aca="false">IF(D57&lt;=$C$13-0.1,"✓✓ P(A) 远远够",IF(D57&lt;=$C$13,"✓ P(A) 够",IF(D57&lt;=$C$13+0.05,"⚠ P(A) 略不够","✗ P(A) 不够")))</f>
        <v>✓ P(A) 够</v>
      </c>
      <c r="F57" s="1" t="str">
        <f aca="false">IF($C$13-D57&gt;=0.1,"⭐⭐ 强买入",IF($C$13-D57&gt;=0.05,"⭐ 买入",IF($C$13-D57&gt;=0,"✅ 边际买入",IF($C$13-D57&gt;=-0.05,"⚠️ 警惕",IF($C$13-D57&gt;=-0.15,"❌ 避免","❌❌ 强避免")))))</f>
        <v>⭐ 买入</v>
      </c>
    </row>
    <row r="58" customFormat="false" ht="15" hidden="false" customHeight="true" outlineLevel="0" collapsed="false">
      <c r="B58" s="21" t="n">
        <f aca="false">$C$7*1</f>
        <v>428</v>
      </c>
      <c r="C58" s="21" t="n">
        <f aca="false">B58*$C$8</f>
        <v>1514.264</v>
      </c>
      <c r="D58" s="21" t="n">
        <f aca="false">(C58-$C$20+$C$12*($C$20-$C$21))/($C$19-$C$20)</f>
        <v>0.459803333333333</v>
      </c>
      <c r="E58" s="21" t="str">
        <f aca="false">IF(D58&lt;=$C$13-0.1,"✓✓ P(A) 远远够",IF(D58&lt;=$C$13,"✓ P(A) 够",IF(D58&lt;=$C$13+0.05,"⚠ P(A) 略不够","✗ P(A) 不够")))</f>
        <v>✗ P(A) 不够</v>
      </c>
      <c r="F58" s="21" t="str">
        <f aca="false">IF($C$13-D58&gt;=0.1,"⭐⭐ 强买入",IF($C$13-D58&gt;=0.05,"⭐ 买入",IF($C$13-D58&gt;=0,"✅ 边际买入",IF($C$13-D58&gt;=-0.05,"⚠️ 警惕",IF($C$13-D58&gt;=-0.15,"❌ 避免","❌❌ 强避免")))))</f>
        <v>❌ 避免</v>
      </c>
    </row>
    <row r="59" customFormat="false" ht="15" hidden="false" customHeight="true" outlineLevel="0" collapsed="false">
      <c r="B59" s="1" t="n">
        <f aca="false">$C$7*1.1</f>
        <v>470.8</v>
      </c>
      <c r="C59" s="1" t="n">
        <f aca="false">B59*$C$8</f>
        <v>1665.6904</v>
      </c>
      <c r="D59" s="1" t="n">
        <f aca="false">(C59-$C$20+$C$12*($C$20-$C$21))/($C$19-$C$20)</f>
        <v>0.585992</v>
      </c>
      <c r="E59" s="1" t="str">
        <f aca="false">IF(D59&lt;=$C$13-0.1,"✓✓ P(A) 远远够",IF(D59&lt;=$C$13,"✓ P(A) 够",IF(D59&lt;=$C$13+0.05,"⚠ P(A) 略不够","✗ P(A) 不够")))</f>
        <v>✗ P(A) 不够</v>
      </c>
      <c r="F59" s="1" t="str">
        <f aca="false">IF($C$13-D59&gt;=0.1,"⭐⭐ 强买入",IF($C$13-D59&gt;=0.05,"⭐ 买入",IF($C$13-D59&gt;=0,"✅ 边际买入",IF($C$13-D59&gt;=-0.05,"⚠️ 警惕",IF($C$13-D59&gt;=-0.15,"❌ 避免","❌❌ 强避免")))))</f>
        <v>❌❌ 强避免</v>
      </c>
    </row>
    <row r="60" customFormat="false" ht="15" hidden="false" customHeight="true" outlineLevel="0" collapsed="false">
      <c r="B60" s="1" t="n">
        <f aca="false">$C$7*1.2</f>
        <v>513.6</v>
      </c>
      <c r="C60" s="1" t="n">
        <f aca="false">B60*$C$8</f>
        <v>1817.1168</v>
      </c>
      <c r="D60" s="1" t="n">
        <f aca="false">(C60-$C$20+$C$12*($C$20-$C$21))/($C$19-$C$20)</f>
        <v>0.712180666666667</v>
      </c>
      <c r="E60" s="1" t="str">
        <f aca="false">IF(D60&lt;=$C$13-0.1,"✓✓ P(A) 远远够",IF(D60&lt;=$C$13,"✓ P(A) 够",IF(D60&lt;=$C$13+0.05,"⚠ P(A) 略不够","✗ P(A) 不够")))</f>
        <v>✗ P(A) 不够</v>
      </c>
      <c r="F60" s="1" t="str">
        <f aca="false">IF($C$13-D60&gt;=0.1,"⭐⭐ 强买入",IF($C$13-D60&gt;=0.05,"⭐ 买入",IF($C$13-D60&gt;=0,"✅ 边际买入",IF($C$13-D60&gt;=-0.05,"⚠️ 警惕",IF($C$13-D60&gt;=-0.15,"❌ 避免","❌❌ 强避免")))))</f>
        <v>❌❌ 强避免</v>
      </c>
    </row>
    <row r="61" customFormat="false" ht="15" hidden="false" customHeight="true" outlineLevel="0" collapsed="false">
      <c r="B61" s="1" t="n">
        <f aca="false">$C$7*1.3</f>
        <v>556.4</v>
      </c>
      <c r="C61" s="1" t="n">
        <f aca="false">B61*$C$8</f>
        <v>1968.5432</v>
      </c>
      <c r="D61" s="1" t="n">
        <f aca="false">(C61-$C$20+$C$12*($C$20-$C$21))/($C$19-$C$20)</f>
        <v>0.838369333333333</v>
      </c>
      <c r="E61" s="1" t="str">
        <f aca="false">IF(D61&lt;=$C$13-0.1,"✓✓ P(A) 远远够",IF(D61&lt;=$C$13,"✓ P(A) 够",IF(D61&lt;=$C$13+0.05,"⚠ P(A) 略不够","✗ P(A) 不够")))</f>
        <v>✗ P(A) 不够</v>
      </c>
      <c r="F61" s="1" t="str">
        <f aca="false">IF($C$13-D61&gt;=0.1,"⭐⭐ 强买入",IF($C$13-D61&gt;=0.05,"⭐ 买入",IF($C$13-D61&gt;=0,"✅ 边际买入",IF($C$13-D61&gt;=-0.05,"⚠️ 警惕",IF($C$13-D61&gt;=-0.15,"❌ 避免","❌❌ 强避免")))))</f>
        <v>❌❌ 强避免</v>
      </c>
    </row>
    <row r="64" customFormat="false" ht="15" hidden="false" customHeight="true" outlineLevel="0" collapsed="false">
      <c r="B64" s="4" t="s">
        <v>418</v>
      </c>
    </row>
    <row r="66" customFormat="false" ht="15" hidden="false" customHeight="true" outlineLevel="0" collapsed="false">
      <c r="B66" s="9" t="s">
        <v>20</v>
      </c>
    </row>
    <row r="67" customFormat="false" ht="15" hidden="false" customHeight="true" outlineLevel="0" collapsed="false">
      <c r="B67" s="1" t="s">
        <v>419</v>
      </c>
    </row>
    <row r="68" customFormat="false" ht="15" hidden="false" customHeight="true" outlineLevel="0" collapsed="false">
      <c r="B68" s="5" t="s">
        <v>420</v>
      </c>
    </row>
    <row r="69" customFormat="false" ht="15" hidden="false" customHeight="true" outlineLevel="0" collapsed="false">
      <c r="B69" s="1" t="s">
        <v>421</v>
      </c>
    </row>
    <row r="70" customFormat="false" ht="15" hidden="false" customHeight="true" outlineLevel="0" collapsed="false">
      <c r="B70" s="1" t="s">
        <v>422</v>
      </c>
    </row>
    <row r="72" customFormat="false" ht="15" hidden="false" customHeight="true" outlineLevel="0" collapsed="false">
      <c r="B72" s="9" t="s">
        <v>423</v>
      </c>
    </row>
    <row r="73" customFormat="false" ht="15" hidden="false" customHeight="true" outlineLevel="0" collapsed="false">
      <c r="B73" s="1" t="s">
        <v>424</v>
      </c>
      <c r="C73" s="1" t="n">
        <f aca="false">C19/C9-1</f>
        <v>0.518889704833503</v>
      </c>
    </row>
    <row r="74" customFormat="false" ht="15" hidden="false" customHeight="true" outlineLevel="0" collapsed="false">
      <c r="B74" s="1" t="s">
        <v>425</v>
      </c>
      <c r="C74" s="1" t="n">
        <f aca="false">((1-C13-C12)*ABS(C20-C9)/C9 + C12*ABS(C21-C9)/C9)/(1-C13)</f>
        <v>0.424913137119199</v>
      </c>
    </row>
    <row r="75" customFormat="false" ht="15" hidden="false" customHeight="true" outlineLevel="0" collapsed="false">
      <c r="B75" s="1" t="s">
        <v>426</v>
      </c>
      <c r="C75" s="14" t="n">
        <f aca="false">(C13*C73 - (1-C13)*C74) / C73</f>
        <v>-0.0913334758748484</v>
      </c>
    </row>
    <row r="76" customFormat="false" ht="15" hidden="false" customHeight="true" outlineLevel="0" collapsed="false">
      <c r="B76" s="1" t="s">
        <v>427</v>
      </c>
      <c r="C76" s="1" t="str">
        <f aca="false">IF(C75&lt;=0,"❌ 负 Kelly: 不应该买入 (实际是做空信号)",IF(C75&lt;=0.05,"⚠️ 极小仓位 (&lt;5%): 几乎无 edge",IF(C75&lt;=0.15,"✅ 合理仓位 (5-15%)",IF(C75&lt;=0.3,"⭐ 较大仓位 (15-30%)","⭐⭐ 全力押注信号 (&gt;30%) — 但小心过度自信"))))</f>
        <v>❌ 负 Kelly: 不应该买入 (实际是做空信号)</v>
      </c>
    </row>
    <row r="78" customFormat="false" ht="15" hidden="false" customHeight="true" outlineLevel="0" collapsed="false">
      <c r="B78" s="3" t="s">
        <v>428</v>
      </c>
    </row>
    <row r="79" customFormat="false" ht="15" hidden="false" customHeight="true" outlineLevel="0" collapsed="false">
      <c r="B79" s="5" t="s">
        <v>429</v>
      </c>
      <c r="C79" s="1" t="n">
        <f aca="false">MAX(0,C75*0.5)</f>
        <v>0</v>
      </c>
    </row>
    <row r="82" customFormat="false" ht="15" hidden="false" customHeight="true" outlineLevel="0" collapsed="false">
      <c r="B82" s="4" t="s">
        <v>430</v>
      </c>
    </row>
    <row r="83" customFormat="false" ht="15" hidden="false" customHeight="true" outlineLevel="0" collapsed="false">
      <c r="B83" s="3" t="s">
        <v>431</v>
      </c>
    </row>
    <row r="85" customFormat="false" ht="15" hidden="false" customHeight="true" outlineLevel="0" collapsed="false">
      <c r="B85" s="7" t="s">
        <v>73</v>
      </c>
      <c r="C85" s="7" t="s">
        <v>432</v>
      </c>
      <c r="D85" s="7" t="s">
        <v>433</v>
      </c>
      <c r="E85" s="7" t="s">
        <v>434</v>
      </c>
      <c r="F85" s="7" t="s">
        <v>435</v>
      </c>
      <c r="G85" s="7" t="s">
        <v>436</v>
      </c>
    </row>
    <row r="86" customFormat="false" ht="15" hidden="false" customHeight="true" outlineLevel="0" collapsed="false">
      <c r="B86" s="21" t="s">
        <v>76</v>
      </c>
      <c r="C86" s="22" t="s">
        <v>437</v>
      </c>
      <c r="D86" s="21" t="n">
        <v>0.45</v>
      </c>
      <c r="E86" s="21" t="n">
        <v>0.4</v>
      </c>
      <c r="F86" s="21" t="s">
        <v>438</v>
      </c>
      <c r="G86" s="22" t="s">
        <v>439</v>
      </c>
    </row>
    <row r="97" customFormat="false" ht="15" hidden="false" customHeight="true" outlineLevel="0" collapsed="false">
      <c r="B97" s="4" t="s">
        <v>440</v>
      </c>
    </row>
    <row r="99" customFormat="false" ht="15" hidden="false" customHeight="true" outlineLevel="0" collapsed="false">
      <c r="B99" s="4" t="s">
        <v>441</v>
      </c>
    </row>
    <row r="100" customFormat="false" ht="15" hidden="false" customHeight="true" outlineLevel="0" collapsed="false">
      <c r="B100" s="5"/>
    </row>
    <row r="101" customFormat="false" ht="15" hidden="false" customHeight="true" outlineLevel="0" collapsed="false">
      <c r="B101" s="9" t="s">
        <v>442</v>
      </c>
      <c r="D101" s="5"/>
    </row>
    <row r="102" customFormat="false" ht="15" hidden="false" customHeight="true" outlineLevel="0" collapsed="false">
      <c r="B102" s="8" t="s">
        <v>443</v>
      </c>
      <c r="C102" s="7" t="s">
        <v>444</v>
      </c>
      <c r="D102" s="7" t="s">
        <v>445</v>
      </c>
      <c r="E102" s="8" t="s">
        <v>446</v>
      </c>
    </row>
    <row r="103" customFormat="false" ht="15" hidden="false" customHeight="true" outlineLevel="0" collapsed="false">
      <c r="B103" s="27" t="s">
        <v>447</v>
      </c>
      <c r="C103" s="21" t="n">
        <f aca="false">C13-0.1</f>
        <v>0.3</v>
      </c>
      <c r="D103" s="1" t="n">
        <f aca="false">(C103*(C19-C20) + C20 - C12*(C20-C21))/C8</f>
        <v>373.798756359525</v>
      </c>
      <c r="E103" s="5" t="s">
        <v>448</v>
      </c>
    </row>
    <row r="104" customFormat="false" ht="15" hidden="false" customHeight="true" outlineLevel="0" collapsed="false">
      <c r="B104" s="27" t="s">
        <v>449</v>
      </c>
      <c r="C104" s="1" t="n">
        <f aca="false">C13-0.05</f>
        <v>0.35</v>
      </c>
      <c r="D104" s="5" t="n">
        <f aca="false">(C104*(C19-C20) + C20 - C12*(C20-C21))/C8</f>
        <v>390.757490107405</v>
      </c>
      <c r="E104" s="5" t="s">
        <v>450</v>
      </c>
    </row>
    <row r="105" customFormat="false" ht="15" hidden="false" customHeight="true" outlineLevel="0" collapsed="false">
      <c r="B105" s="27" t="s">
        <v>451</v>
      </c>
      <c r="C105" s="1" t="n">
        <f aca="false">C13</f>
        <v>0.4</v>
      </c>
      <c r="D105" s="5" t="n">
        <f aca="false">(C105*(C19-C20) + C20 - C12*(C20-C21))/C8</f>
        <v>407.716223855286</v>
      </c>
      <c r="E105" s="5" t="s">
        <v>452</v>
      </c>
    </row>
    <row r="106" customFormat="false" ht="15" hidden="false" customHeight="true" outlineLevel="0" collapsed="false">
      <c r="B106" s="1" t="s">
        <v>453</v>
      </c>
      <c r="C106" s="1" t="n">
        <f aca="false">C13+0.05</f>
        <v>0.45</v>
      </c>
      <c r="D106" s="1" t="n">
        <f aca="false">(C106*(C19-C20) + C20 - C12*(C20-C21))/C8</f>
        <v>424.674957603166</v>
      </c>
      <c r="E106" s="5" t="s">
        <v>454</v>
      </c>
    </row>
    <row r="107" customFormat="false" ht="15" hidden="false" customHeight="true" outlineLevel="0" collapsed="false">
      <c r="B107" s="30" t="s">
        <v>455</v>
      </c>
      <c r="C107" s="1" t="n">
        <f aca="false">C13+0.15</f>
        <v>0.55</v>
      </c>
      <c r="D107" s="1" t="n">
        <f aca="false">(C107*(C19-C20) + C20 - C12*(C20-C21))/C8</f>
        <v>458.592425098926</v>
      </c>
      <c r="E107" s="5" t="s">
        <v>456</v>
      </c>
    </row>
    <row r="108" customFormat="false" ht="15" hidden="false" customHeight="true" outlineLevel="0" collapsed="false"/>
    <row r="109" customFormat="false" ht="15" hidden="false" customHeight="true" outlineLevel="0" collapsed="false">
      <c r="B109" s="5" t="s">
        <v>145</v>
      </c>
      <c r="C109" s="5"/>
      <c r="D109" s="21" t="n">
        <f aca="false">C7</f>
        <v>428</v>
      </c>
      <c r="E109" s="31" t="str">
        <f aca="false">IF(D109&lt;D103,"⭐⭐ 强买入区",IF(D109&lt;D104,"⭐ 买入区",IF(D109&lt;D105,"✅ 边际买入区",IF(D109&lt;D106,"⚠️ 警惕区",IF(D109&lt;D107,"❌ 避免区","❌❌ 强避免区")))))</f>
        <v>❌ 避免区</v>
      </c>
    </row>
    <row r="110" customFormat="false" ht="15" hidden="false" customHeight="true" outlineLevel="0" collapsed="false"/>
    <row r="111" customFormat="false" ht="15" hidden="false" customHeight="true" outlineLevel="0" collapsed="false">
      <c r="B111" s="9" t="s">
        <v>457</v>
      </c>
      <c r="C111" s="5"/>
    </row>
    <row r="112" customFormat="false" ht="15" hidden="false" customHeight="true" outlineLevel="0" collapsed="false">
      <c r="B112" s="1" t="s">
        <v>458</v>
      </c>
      <c r="C112" s="5"/>
    </row>
    <row r="113" customFormat="false" ht="15" hidden="false" customHeight="true" outlineLevel="0" collapsed="false">
      <c r="B113" s="1" t="s">
        <v>459</v>
      </c>
    </row>
    <row r="114" customFormat="false" ht="15" hidden="false" customHeight="true" outlineLevel="0" collapsed="false">
      <c r="B114" s="1" t="s">
        <v>460</v>
      </c>
    </row>
    <row r="115" customFormat="false" ht="15" hidden="false" customHeight="true" outlineLevel="0" collapsed="false">
      <c r="B115" s="1" t="s">
        <v>461</v>
      </c>
      <c r="C115" s="5"/>
    </row>
    <row r="116" customFormat="false" ht="15" hidden="false" customHeight="true" outlineLevel="0" collapsed="false">
      <c r="B116" s="1" t="s">
        <v>462</v>
      </c>
    </row>
    <row r="117" customFormat="false" ht="15" hidden="false" customHeight="true" outlineLevel="0" collapsed="false">
      <c r="B117" s="1" t="s">
        <v>463</v>
      </c>
      <c r="C117" s="5"/>
    </row>
    <row r="118" customFormat="false" ht="15" hidden="false" customHeight="true" outlineLevel="0" collapsed="false"/>
    <row r="120" customFormat="false" ht="15" hidden="false" customHeight="true" outlineLevel="0" collapsed="false">
      <c r="B120" s="4" t="s">
        <v>464</v>
      </c>
    </row>
    <row r="121" customFormat="false" ht="15" hidden="false" customHeight="true" outlineLevel="0" collapsed="false"/>
    <row r="122" customFormat="false" ht="15" hidden="false" customHeight="true" outlineLevel="0" collapsed="false">
      <c r="B122" s="1" t="s">
        <v>465</v>
      </c>
      <c r="C122" s="1" t="s">
        <v>466</v>
      </c>
    </row>
    <row r="123" customFormat="false" ht="15" hidden="false" customHeight="true" outlineLevel="0" collapsed="false">
      <c r="B123" s="1" t="s">
        <v>465</v>
      </c>
      <c r="C123" s="5" t="s">
        <v>467</v>
      </c>
    </row>
    <row r="124" customFormat="false" ht="15" hidden="false" customHeight="true" outlineLevel="0" collapsed="false">
      <c r="B124" s="1" t="s">
        <v>465</v>
      </c>
      <c r="C124" s="1" t="s">
        <v>468</v>
      </c>
    </row>
    <row r="125" customFormat="false" ht="15" hidden="false" customHeight="true" outlineLevel="0" collapsed="false">
      <c r="B125" s="1" t="s">
        <v>469</v>
      </c>
      <c r="C125" s="5" t="s">
        <v>470</v>
      </c>
    </row>
    <row r="126" customFormat="false" ht="15" hidden="false" customHeight="true" outlineLevel="0" collapsed="false">
      <c r="B126" s="1" t="s">
        <v>469</v>
      </c>
      <c r="C126" s="5" t="s">
        <v>471</v>
      </c>
    </row>
    <row r="128" customFormat="false" ht="15" hidden="false" customHeight="true" outlineLevel="0" collapsed="false">
      <c r="B128" s="1" t="s">
        <v>472</v>
      </c>
      <c r="C128" s="1" t="s">
        <v>473</v>
      </c>
    </row>
    <row r="129" customFormat="false" ht="15" hidden="false" customHeight="true" outlineLevel="0" collapsed="false">
      <c r="B129" s="1" t="s">
        <v>474</v>
      </c>
      <c r="C129" s="5" t="s">
        <v>475</v>
      </c>
    </row>
    <row r="130" customFormat="false" ht="15" hidden="false" customHeight="true" outlineLevel="0" collapsed="false">
      <c r="B130" s="1" t="s">
        <v>474</v>
      </c>
      <c r="C130" s="1" t="s">
        <v>476</v>
      </c>
    </row>
    <row r="131" customFormat="false" ht="15" hidden="false" customHeight="true" outlineLevel="0" collapsed="false">
      <c r="B131" s="1" t="s">
        <v>474</v>
      </c>
      <c r="C131" s="5" t="s">
        <v>477</v>
      </c>
    </row>
    <row r="132" customFormat="false" ht="15" hidden="false" customHeight="true" outlineLevel="0" collapsed="false">
      <c r="B132" s="1" t="s">
        <v>478</v>
      </c>
      <c r="C132" s="1" t="s">
        <v>479</v>
      </c>
    </row>
    <row r="135" customFormat="false" ht="15" hidden="false" customHeight="true" outlineLevel="0" collapsed="false">
      <c r="B135" s="4" t="s">
        <v>480</v>
      </c>
    </row>
    <row r="136" customFormat="false" ht="15" hidden="false" customHeight="true" outlineLevel="0" collapsed="false">
      <c r="B136" s="1" t="s">
        <v>481</v>
      </c>
    </row>
    <row r="137" customFormat="false" ht="15" hidden="false" customHeight="true" outlineLevel="0" collapsed="false">
      <c r="B137" s="1" t="s">
        <v>482</v>
      </c>
    </row>
    <row r="138" customFormat="false" ht="15" hidden="false" customHeight="true" outlineLevel="0" collapsed="false">
      <c r="B138" s="1" t="s">
        <v>483</v>
      </c>
    </row>
    <row r="139" customFormat="false" ht="15" hidden="false" customHeight="true" outlineLevel="0" collapsed="false">
      <c r="B139" s="1" t="s">
        <v>484</v>
      </c>
    </row>
    <row r="140" customFormat="false" ht="15" hidden="false" customHeight="true" outlineLevel="0" collapsed="false">
      <c r="B140" s="1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2026-05-11T00:56:45Z</dcterms:created>
  <dc:creator>openpyxl</dc:creator>
  <dc:description/>
  <dc:language>en-US</dc:language>
  <cp:lastModifiedBy/>
  <dcterms:modified xsi:type="dcterms:W3CDTF">2026-05-11T02:45:51Z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