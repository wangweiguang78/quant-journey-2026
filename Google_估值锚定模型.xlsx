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输入与假设" sheetId="1" state="visible" r:id="rId3"/>
    <sheet name="2_5年预测" sheetId="2" state="visible" r:id="rId4"/>
    <sheet name="3_SOTP估值" sheetId="3" state="visible" r:id="rId5"/>
    <sheet name="4_价位分析" sheetId="4" state="visible" r:id="rId6"/>
    <sheet name="5_季度跟踪" sheetId="5" state="visible" r:id="rId7"/>
    <sheet name="6_期权价值" sheetId="6" state="visible" r:id="rId8"/>
    <sheet name="7_AI_KPI跟踪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<sst xmlns="http://schemas.openxmlformats.org/spreadsheetml/2006/main" count="518" uniqueCount="374">
  <si>
    <r>
      <rPr>
        <b val="true"/>
        <sz val="14"/>
        <rFont val="Arial"/>
        <family val="0"/>
        <charset val="1"/>
      </rPr>
      <t xml:space="preserve">Google </t>
    </r>
    <r>
      <rPr>
        <b val="true"/>
        <sz val="14"/>
        <rFont val="DejaVu Sans"/>
        <family val="2"/>
      </rPr>
      <t xml:space="preserve">估值锚定模型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DejaVu Sans"/>
        <family val="2"/>
      </rPr>
      <t xml:space="preserve">输入区（方案 </t>
    </r>
    <r>
      <rPr>
        <b val="true"/>
        <sz val="14"/>
        <rFont val="Arial"/>
        <family val="0"/>
        <charset val="1"/>
      </rPr>
      <t xml:space="preserve">A</t>
    </r>
    <r>
      <rPr>
        <b val="true"/>
        <sz val="14"/>
        <rFont val="DejaVu Sans"/>
        <family val="2"/>
      </rPr>
      <t xml:space="preserve">：基本面 </t>
    </r>
    <r>
      <rPr>
        <b val="true"/>
        <sz val="14"/>
        <rFont val="Arial"/>
        <family val="0"/>
        <charset val="1"/>
      </rPr>
      <t xml:space="preserve">/ </t>
    </r>
    <r>
      <rPr>
        <b val="true"/>
        <sz val="14"/>
        <rFont val="DejaVu Sans"/>
        <family val="2"/>
      </rPr>
      <t xml:space="preserve">倍数维度分离）</t>
    </r>
  </si>
  <si>
    <r>
      <rPr>
        <i val="true"/>
        <sz val="9"/>
        <color rgb="FF666666"/>
        <rFont val="DejaVu Sans"/>
        <family val="2"/>
      </rPr>
      <t xml:space="preserve">蓝色 </t>
    </r>
    <r>
      <rPr>
        <i val="true"/>
        <sz val="9"/>
        <color rgb="FF666666"/>
        <rFont val="DejaVu Sans"/>
        <family val="2"/>
        <charset val="1"/>
      </rPr>
      <t xml:space="preserve">= </t>
    </r>
    <r>
      <rPr>
        <i val="true"/>
        <sz val="9"/>
        <color rgb="FF666666"/>
        <rFont val="DejaVu Sans"/>
        <family val="2"/>
      </rPr>
      <t xml:space="preserve">你输入；黑色 </t>
    </r>
    <r>
      <rPr>
        <i val="true"/>
        <sz val="9"/>
        <color rgb="FF666666"/>
        <rFont val="DejaVu Sans"/>
        <family val="2"/>
        <charset val="1"/>
      </rPr>
      <t xml:space="preserve">= </t>
    </r>
    <r>
      <rPr>
        <i val="true"/>
        <sz val="9"/>
        <color rgb="FF666666"/>
        <rFont val="DejaVu Sans"/>
        <family val="2"/>
      </rPr>
      <t xml:space="preserve">自动计算；绿色 </t>
    </r>
    <r>
      <rPr>
        <i val="true"/>
        <sz val="9"/>
        <color rgb="FF666666"/>
        <rFont val="DejaVu Sans"/>
        <family val="2"/>
        <charset val="1"/>
      </rPr>
      <t xml:space="preserve">= </t>
    </r>
    <r>
      <rPr>
        <i val="true"/>
        <sz val="9"/>
        <color rgb="FF666666"/>
        <rFont val="DejaVu Sans"/>
        <family val="2"/>
      </rPr>
      <t xml:space="preserve">决策结果</t>
    </r>
  </si>
  <si>
    <t xml:space="preserve">一、当前市场数据</t>
  </si>
  <si>
    <r>
      <rPr>
        <b val="true"/>
        <sz val="10"/>
        <rFont val="DejaVu Sans"/>
        <family val="2"/>
      </rPr>
      <t xml:space="preserve">当前股价 </t>
    </r>
    <r>
      <rPr>
        <b val="true"/>
        <sz val="10"/>
        <rFont val="DejaVu Sans"/>
        <family val="2"/>
        <charset val="1"/>
      </rPr>
      <t xml:space="preserve">($)</t>
    </r>
  </si>
  <si>
    <r>
      <rPr>
        <i val="true"/>
        <sz val="9"/>
        <color rgb="FF666666"/>
        <rFont val="DejaVu Sans"/>
        <family val="2"/>
      </rPr>
      <t xml:space="preserve">当前 </t>
    </r>
    <r>
      <rPr>
        <i val="true"/>
        <sz val="9"/>
        <color rgb="FF666666"/>
        <rFont val="DejaVu Sans"/>
        <family val="2"/>
        <charset val="1"/>
      </rPr>
      <t xml:space="preserve">GOOGL </t>
    </r>
    <r>
      <rPr>
        <i val="true"/>
        <sz val="9"/>
        <color rgb="FF666666"/>
        <rFont val="DejaVu Sans"/>
        <family val="2"/>
      </rPr>
      <t xml:space="preserve">股价</t>
    </r>
  </si>
  <si>
    <r>
      <rPr>
        <sz val="11"/>
        <color theme="1"/>
        <rFont val="Calibri"/>
        <family val="2"/>
        <charset val="1"/>
      </rPr>
      <t xml:space="preserve">2026/05/08 </t>
    </r>
    <r>
      <rPr>
        <sz val="11"/>
        <color theme="1"/>
        <rFont val="DejaVu Sans"/>
        <family val="2"/>
      </rPr>
      <t xml:space="preserve">实时（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DejaVu Sans"/>
        <family val="2"/>
      </rPr>
      <t xml:space="preserve">）</t>
    </r>
  </si>
  <si>
    <r>
      <rPr>
        <b val="true"/>
        <sz val="10"/>
        <rFont val="DejaVu Sans"/>
        <family val="2"/>
      </rPr>
      <t xml:space="preserve">流通股本 </t>
    </r>
    <r>
      <rPr>
        <b val="true"/>
        <sz val="10"/>
        <rFont val="DejaVu Sans"/>
        <family val="2"/>
        <charset val="1"/>
      </rPr>
      <t xml:space="preserve">(B </t>
    </r>
    <r>
      <rPr>
        <b val="true"/>
        <sz val="10"/>
        <rFont val="DejaVu Sans"/>
        <family val="2"/>
      </rPr>
      <t xml:space="preserve">股</t>
    </r>
    <r>
      <rPr>
        <b val="true"/>
        <sz val="10"/>
        <rFont val="DejaVu Sans"/>
        <family val="2"/>
        <charset val="1"/>
      </rPr>
      <t xml:space="preserve">)</t>
    </r>
  </si>
  <si>
    <r>
      <rPr>
        <i val="true"/>
        <sz val="9"/>
        <color rgb="FF666666"/>
        <rFont val="Arial"/>
        <family val="2"/>
        <charset val="1"/>
      </rPr>
      <t xml:space="preserve">Class A + B + C </t>
    </r>
    <r>
      <rPr>
        <i val="true"/>
        <sz val="9"/>
        <color rgb="FF666666"/>
        <rFont val="DejaVu Sans"/>
        <family val="2"/>
      </rPr>
      <t xml:space="preserve">合计</t>
    </r>
  </si>
  <si>
    <r>
      <rPr>
        <sz val="11"/>
        <color theme="1"/>
        <rFont val="Calibri"/>
        <family val="2"/>
        <charset val="1"/>
      </rPr>
      <t xml:space="preserve">10-Q Q1 2026 </t>
    </r>
    <r>
      <rPr>
        <sz val="11"/>
        <color theme="1"/>
        <rFont val="DejaVu Sans"/>
        <family val="2"/>
      </rPr>
      <t xml:space="preserve">封面（截至 </t>
    </r>
    <r>
      <rPr>
        <sz val="11"/>
        <color theme="1"/>
        <rFont val="Calibri"/>
        <family val="2"/>
        <charset val="1"/>
      </rPr>
      <t xml:space="preserve">2026/04/22</t>
    </r>
    <r>
      <rPr>
        <sz val="11"/>
        <color theme="1"/>
        <rFont val="DejaVu Sans"/>
        <family val="2"/>
      </rPr>
      <t xml:space="preserve">）</t>
    </r>
  </si>
  <si>
    <r>
      <rPr>
        <b val="true"/>
        <sz val="10"/>
        <rFont val="DejaVu Sans"/>
        <family val="2"/>
      </rPr>
      <t xml:space="preserve">当前市值 </t>
    </r>
    <r>
      <rPr>
        <b val="true"/>
        <sz val="10"/>
        <rFont val="DejaVu Sans"/>
        <family val="2"/>
        <charset val="1"/>
      </rPr>
      <t xml:space="preserve">($B)</t>
    </r>
  </si>
  <si>
    <t xml:space="preserve">自动计算</t>
  </si>
  <si>
    <r>
      <rPr>
        <sz val="11"/>
        <color theme="1"/>
        <rFont val="DejaVu Sans"/>
        <family val="2"/>
      </rPr>
      <t xml:space="preserve">自动 </t>
    </r>
    <r>
      <rPr>
        <sz val="11"/>
        <color theme="1"/>
        <rFont val="DejaVu Sans"/>
        <family val="2"/>
        <charset val="1"/>
      </rPr>
      <t xml:space="preserve">= C7 × C8</t>
    </r>
  </si>
  <si>
    <r>
      <rPr>
        <b val="true"/>
        <sz val="10"/>
        <rFont val="DejaVu Sans"/>
        <family val="2"/>
      </rPr>
      <t xml:space="preserve">折现率 </t>
    </r>
    <r>
      <rPr>
        <b val="true"/>
        <sz val="10"/>
        <rFont val="DejaVu Sans"/>
        <family val="2"/>
        <charset val="1"/>
      </rPr>
      <t xml:space="preserve">(WACC)</t>
    </r>
  </si>
  <si>
    <r>
      <rPr>
        <i val="true"/>
        <sz val="9"/>
        <color rgb="FF666666"/>
        <rFont val="DejaVu Sans"/>
        <family val="2"/>
      </rPr>
      <t xml:space="preserve">默认 </t>
    </r>
    <r>
      <rPr>
        <i val="true"/>
        <sz val="9"/>
        <color rgb="FF666666"/>
        <rFont val="DejaVu Sans"/>
        <family val="2"/>
        <charset val="1"/>
      </rPr>
      <t xml:space="preserve">10%</t>
    </r>
  </si>
  <si>
    <r>
      <rPr>
        <sz val="11"/>
        <color theme="1"/>
        <rFont val="DejaVu Sans"/>
        <family val="2"/>
      </rPr>
      <t xml:space="preserve">行业惯例（折现率默认 </t>
    </r>
    <r>
      <rPr>
        <sz val="11"/>
        <color theme="1"/>
        <rFont val="DejaVu Sans"/>
        <family val="2"/>
        <charset val="1"/>
      </rPr>
      <t xml:space="preserve">10%</t>
    </r>
    <r>
      <rPr>
        <sz val="11"/>
        <color theme="1"/>
        <rFont val="DejaVu Sans"/>
        <family val="2"/>
      </rPr>
      <t xml:space="preserve">）</t>
    </r>
  </si>
  <si>
    <t xml:space="preserve">当前股息率</t>
  </si>
  <si>
    <r>
      <rPr>
        <i val="true"/>
        <sz val="9"/>
        <color rgb="FF666666"/>
        <rFont val="DejaVu Sans"/>
        <family val="2"/>
      </rPr>
      <t xml:space="preserve">默认 </t>
    </r>
    <r>
      <rPr>
        <i val="true"/>
        <sz val="9"/>
        <color rgb="FF666666"/>
        <rFont val="DejaVu Sans"/>
        <family val="2"/>
        <charset val="1"/>
      </rPr>
      <t xml:space="preserve">0.23%</t>
    </r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</si>
  <si>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DejaVu Sans"/>
        <family val="2"/>
      </rPr>
      <t xml:space="preserve">季报披露</t>
    </r>
  </si>
  <si>
    <t xml:space="preserve">年度净回购率</t>
  </si>
  <si>
    <r>
      <rPr>
        <sz val="11"/>
        <color theme="1"/>
        <rFont val="DejaVu Sans"/>
        <family val="2"/>
      </rPr>
      <t xml:space="preserve">净回购率（扣除 </t>
    </r>
    <r>
      <rPr>
        <sz val="11"/>
        <color theme="1"/>
        <rFont val="DejaVu Sans"/>
        <family val="2"/>
        <charset val="1"/>
      </rPr>
      <t xml:space="preserve">SBC</t>
    </r>
    <r>
      <rPr>
        <sz val="11"/>
        <color theme="1"/>
        <rFont val="DejaVu Sans"/>
        <family val="2"/>
      </rPr>
      <t xml:space="preserve">）；管理层信心信号</t>
    </r>
  </si>
  <si>
    <r>
      <rPr>
        <sz val="11"/>
        <color theme="1"/>
        <rFont val="DejaVu Sans"/>
        <family val="2"/>
      </rPr>
      <t xml:space="preserve">每季度核对：实际回购 </t>
    </r>
    <r>
      <rPr>
        <sz val="11"/>
        <color theme="1"/>
        <rFont val="DejaVu Sans"/>
        <family val="2"/>
        <charset val="1"/>
      </rPr>
      <t xml:space="preserve">÷ </t>
    </r>
    <r>
      <rPr>
        <sz val="11"/>
        <color theme="1"/>
        <rFont val="DejaVu Sans"/>
        <family val="2"/>
      </rPr>
      <t xml:space="preserve">当季初市值 </t>
    </r>
    <r>
      <rPr>
        <sz val="11"/>
        <color theme="1"/>
        <rFont val="DejaVu Sans"/>
        <family val="2"/>
        <charset val="1"/>
      </rPr>
      <t xml:space="preserve">× 4</t>
    </r>
  </si>
  <si>
    <r>
      <rPr>
        <b val="true"/>
        <sz val="11"/>
        <color rgb="FFFFFFFF"/>
        <rFont val="DejaVu Sans"/>
        <family val="2"/>
      </rPr>
      <t xml:space="preserve">二、</t>
    </r>
    <r>
      <rPr>
        <b val="true"/>
        <sz val="11"/>
        <color rgb="FFFFFFFF"/>
        <rFont val="DejaVu Sans"/>
        <family val="2"/>
        <charset val="1"/>
      </rPr>
      <t xml:space="preserve">2025 </t>
    </r>
    <r>
      <rPr>
        <b val="true"/>
        <sz val="11"/>
        <color rgb="FFFFFFFF"/>
        <rFont val="DejaVu Sans"/>
        <family val="2"/>
      </rPr>
      <t xml:space="preserve">年业务线营收基线</t>
    </r>
  </si>
  <si>
    <r>
      <rPr>
        <b val="true"/>
        <sz val="11"/>
        <rFont val="DejaVu Sans"/>
        <family val="2"/>
      </rPr>
      <t xml:space="preserve">数据来源 </t>
    </r>
    <r>
      <rPr>
        <b val="true"/>
        <sz val="11"/>
        <rFont val="DejaVu Sans"/>
        <family val="2"/>
        <charset val="1"/>
      </rPr>
      <t xml:space="preserve">/ </t>
    </r>
    <r>
      <rPr>
        <b val="true"/>
        <sz val="11"/>
        <rFont val="DejaVu Sans"/>
        <family val="2"/>
      </rPr>
      <t xml:space="preserve">时间戳</t>
    </r>
  </si>
  <si>
    <t xml:space="preserve">业务线</t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</si>
  <si>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DejaVu Sans"/>
        <family val="2"/>
      </rPr>
      <t xml:space="preserve">营收 </t>
    </r>
    <r>
      <rPr>
        <b val="true"/>
        <sz val="11"/>
        <rFont val="Cambria"/>
        <family val="0"/>
        <charset val="1"/>
      </rPr>
      <t xml:space="preserve">($B)</t>
    </r>
  </si>
  <si>
    <t xml:space="preserve">说明</t>
  </si>
  <si>
    <r>
      <rPr>
        <b val="true"/>
        <sz val="11"/>
        <rFont val="DejaVu Sans"/>
        <family val="2"/>
      </rPr>
      <t xml:space="preserve">数据来源 </t>
    </r>
    <r>
      <rPr>
        <b val="true"/>
        <sz val="11"/>
        <rFont val="DejaVu Sans"/>
        <family val="2"/>
        <charset val="1"/>
      </rPr>
      <t xml:space="preserve">/ </t>
    </r>
    <r>
      <rPr>
        <b val="true"/>
        <sz val="11"/>
        <rFont val="DejaVu Sans"/>
        <family val="2"/>
      </rPr>
      <t xml:space="preserve">验证依据</t>
    </r>
  </si>
  <si>
    <r>
      <rPr>
        <b val="true"/>
        <sz val="10"/>
        <rFont val="Arial"/>
        <family val="2"/>
        <charset val="1"/>
      </rPr>
      <t xml:space="preserve">Search </t>
    </r>
    <r>
      <rPr>
        <b val="true"/>
        <sz val="10"/>
        <rFont val="DejaVu Sans"/>
        <family val="2"/>
      </rPr>
      <t xml:space="preserve">传统广告</t>
    </r>
  </si>
  <si>
    <r>
      <rPr>
        <i val="true"/>
        <sz val="9"/>
        <color rgb="FF666666"/>
        <rFont val="DejaVu Sans"/>
        <family val="2"/>
      </rPr>
      <t xml:space="preserve">反垄断 </t>
    </r>
    <r>
      <rPr>
        <i val="true"/>
        <sz val="9"/>
        <color rgb="FF666666"/>
        <rFont val="DejaVu Sans"/>
        <family val="2"/>
        <charset val="1"/>
      </rPr>
      <t xml:space="preserve">+ ChatGPT </t>
    </r>
    <r>
      <rPr>
        <i val="true"/>
        <sz val="9"/>
        <color rgb="FF666666"/>
        <rFont val="DejaVu Sans"/>
        <family val="2"/>
      </rPr>
      <t xml:space="preserve">蚕食长尾</t>
    </r>
  </si>
  <si>
    <r>
      <rPr>
        <sz val="11"/>
        <color theme="1"/>
        <rFont val="Calibri"/>
        <family val="2"/>
        <charset val="1"/>
      </rPr>
      <t xml:space="preserve">10-K 2025 / Q1 2026 10-Q / </t>
    </r>
    <r>
      <rPr>
        <sz val="11"/>
        <color theme="1"/>
        <rFont val="DejaVu Sans"/>
        <family val="2"/>
      </rPr>
      <t xml:space="preserve">文档 </t>
    </r>
    <r>
      <rPr>
        <sz val="11"/>
        <color theme="1"/>
        <rFont val="Calibri"/>
        <family val="2"/>
        <charset val="1"/>
      </rPr>
      <t xml:space="preserve">v1</t>
    </r>
  </si>
  <si>
    <r>
      <rPr>
        <b val="true"/>
        <sz val="10"/>
        <rFont val="Arial"/>
        <family val="2"/>
        <charset val="1"/>
      </rPr>
      <t xml:space="preserve">Search AI </t>
    </r>
    <r>
      <rPr>
        <b val="true"/>
        <sz val="10"/>
        <rFont val="DejaVu Sans"/>
        <family val="2"/>
      </rPr>
      <t xml:space="preserve">增量</t>
    </r>
  </si>
  <si>
    <r>
      <rPr>
        <i val="true"/>
        <sz val="9"/>
        <color rgb="FF666666"/>
        <rFont val="DejaVu Sans"/>
        <family val="2"/>
        <charset val="1"/>
      </rPr>
      <t xml:space="preserve">AI Overview 25%</t>
    </r>
    <r>
      <rPr>
        <i val="true"/>
        <sz val="9"/>
        <color rgb="FF666666"/>
        <rFont val="DejaVu Sans"/>
        <family val="2"/>
      </rPr>
      <t xml:space="preserve">广告化 </t>
    </r>
    <r>
      <rPr>
        <i val="true"/>
        <sz val="9"/>
        <color rgb="FF666666"/>
        <rFont val="DejaVu Sans"/>
        <family val="2"/>
        <charset val="1"/>
      </rPr>
      <t xml:space="preserve">+ AI Mode 75M DAU</t>
    </r>
  </si>
  <si>
    <t xml:space="preserve">YouTube ads</t>
  </si>
  <si>
    <r>
      <rPr>
        <i val="true"/>
        <sz val="9"/>
        <color rgb="FF666666"/>
        <rFont val="Arial"/>
        <family val="2"/>
        <charset val="1"/>
      </rPr>
      <t xml:space="preserve">Q4 2025 +9%</t>
    </r>
    <r>
      <rPr>
        <i val="true"/>
        <sz val="9"/>
        <color rgb="FF666666"/>
        <rFont val="DejaVu Sans"/>
        <family val="2"/>
      </rPr>
      <t xml:space="preserve">；广告主迁移</t>
    </r>
  </si>
  <si>
    <t xml:space="preserve">Google Network</t>
  </si>
  <si>
    <t xml:space="preserve">AdSense/AdMob; Q1 2026 -4%</t>
  </si>
  <si>
    <t xml:space="preserve">Subscriptions/Platforms/Devices</t>
  </si>
  <si>
    <r>
      <rPr>
        <i val="true"/>
        <sz val="9"/>
        <color rgb="FF666666"/>
        <rFont val="DejaVu Sans"/>
        <family val="2"/>
        <charset val="1"/>
      </rPr>
      <t xml:space="preserve">YT Subs/Pixel/Play/Workspace </t>
    </r>
    <r>
      <rPr>
        <i val="true"/>
        <sz val="9"/>
        <color rgb="FF666666"/>
        <rFont val="DejaVu Sans"/>
        <family val="2"/>
      </rPr>
      <t xml:space="preserve">消费</t>
    </r>
  </si>
  <si>
    <r>
      <rPr>
        <b val="true"/>
        <sz val="10"/>
        <rFont val="Arial"/>
        <family val="2"/>
        <charset val="1"/>
      </rPr>
      <t xml:space="preserve">Google Cloud </t>
    </r>
    <r>
      <rPr>
        <b val="true"/>
        <sz val="10"/>
        <rFont val="DejaVu Sans"/>
        <family val="2"/>
      </rPr>
      <t xml:space="preserve">传统 </t>
    </r>
    <r>
      <rPr>
        <b val="true"/>
        <sz val="10"/>
        <rFont val="Arial"/>
        <family val="2"/>
        <charset val="1"/>
      </rPr>
      <t xml:space="preserve">GCP</t>
    </r>
  </si>
  <si>
    <r>
      <rPr>
        <i val="true"/>
        <sz val="9"/>
        <color rgb="FF666666"/>
        <rFont val="DejaVu Sans"/>
        <family val="2"/>
      </rPr>
      <t xml:space="preserve">基础设施 </t>
    </r>
    <r>
      <rPr>
        <i val="true"/>
        <sz val="9"/>
        <color rgb="FF666666"/>
        <rFont val="DejaVu Sans"/>
        <family val="2"/>
        <charset val="1"/>
      </rPr>
      <t xml:space="preserve">+ </t>
    </r>
    <r>
      <rPr>
        <i val="true"/>
        <sz val="9"/>
        <color rgb="FF666666"/>
        <rFont val="DejaVu Sans"/>
        <family val="2"/>
      </rPr>
      <t xml:space="preserve">数据库 </t>
    </r>
    <r>
      <rPr>
        <i val="true"/>
        <sz val="9"/>
        <color rgb="FF666666"/>
        <rFont val="DejaVu Sans"/>
        <family val="2"/>
        <charset val="1"/>
      </rPr>
      <t xml:space="preserve">+ </t>
    </r>
    <r>
      <rPr>
        <i val="true"/>
        <sz val="9"/>
        <color rgb="FF666666"/>
        <rFont val="DejaVu Sans"/>
        <family val="2"/>
      </rPr>
      <t xml:space="preserve">应用</t>
    </r>
  </si>
  <si>
    <t xml:space="preserve">Cloud AI</t>
  </si>
  <si>
    <r>
      <rPr>
        <i val="true"/>
        <sz val="9"/>
        <color rgb="FF666666"/>
        <rFont val="Arial"/>
        <family val="2"/>
        <charset val="1"/>
      </rPr>
      <t xml:space="preserve">Vertex/TPU/AI Svc/3P </t>
    </r>
    <r>
      <rPr>
        <i val="true"/>
        <sz val="9"/>
        <color rgb="FF666666"/>
        <rFont val="DejaVu Sans"/>
        <family val="2"/>
      </rPr>
      <t xml:space="preserve">托管 </t>
    </r>
    <r>
      <rPr>
        <i val="true"/>
        <sz val="9"/>
        <color rgb="FF666666"/>
        <rFont val="Arial"/>
        <family val="2"/>
        <charset val="1"/>
      </rPr>
      <t xml:space="preserve">+800% YoY</t>
    </r>
  </si>
  <si>
    <t xml:space="preserve">Other Bets</t>
  </si>
  <si>
    <r>
      <rPr>
        <sz val="11"/>
        <color theme="1"/>
        <rFont val="Calibri"/>
        <family val="2"/>
        <charset val="1"/>
      </rPr>
      <t xml:space="preserve">Calico + X labs</t>
    </r>
    <r>
      <rPr>
        <sz val="11"/>
        <color theme="1"/>
        <rFont val="DejaVu Sans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DejaVu Sans"/>
        <family val="2"/>
      </rPr>
      <t xml:space="preserve">期权另算）</t>
    </r>
  </si>
  <si>
    <t xml:space="preserve">合计</t>
  </si>
  <si>
    <r>
      <rPr>
        <sz val="11"/>
        <color theme="1"/>
        <rFont val="Calibri"/>
        <family val="2"/>
        <charset val="1"/>
      </rPr>
      <t xml:space="preserve">vs Alphabet </t>
    </r>
    <r>
      <rPr>
        <sz val="11"/>
        <color theme="1"/>
        <rFont val="DejaVu Sans"/>
        <family val="2"/>
      </rPr>
      <t xml:space="preserve">实际 </t>
    </r>
    <r>
      <rPr>
        <sz val="11"/>
        <color theme="1"/>
        <rFont val="Calibri"/>
        <family val="2"/>
        <charset val="1"/>
      </rPr>
      <t xml:space="preserve">2025 $402.8B</t>
    </r>
  </si>
  <si>
    <r>
      <rPr>
        <b val="true"/>
        <sz val="11"/>
        <color rgb="FFFFFFFF"/>
        <rFont val="DejaVu Sans"/>
        <family val="2"/>
      </rPr>
      <t xml:space="preserve">三、三情景 </t>
    </r>
    <r>
      <rPr>
        <b val="true"/>
        <sz val="11"/>
        <color rgb="FFFFFFFF"/>
        <rFont val="DejaVu Sans"/>
        <family val="2"/>
        <charset val="1"/>
      </rPr>
      <t xml:space="preserve">CAGR </t>
    </r>
    <r>
      <rPr>
        <b val="true"/>
        <sz val="11"/>
        <color rgb="FFFFFFFF"/>
        <rFont val="DejaVu Sans"/>
        <family val="2"/>
      </rPr>
      <t xml:space="preserve">假设（基本面维度）— 唯一情景间变化</t>
    </r>
  </si>
  <si>
    <t xml:space="preserve">Bear CAGR</t>
  </si>
  <si>
    <t xml:space="preserve">Base CAGR</t>
  </si>
  <si>
    <t xml:space="preserve">Bull CAGR</t>
  </si>
  <si>
    <r>
      <rPr>
        <b val="true"/>
        <sz val="11"/>
        <rFont val="DejaVu Sans"/>
        <family val="2"/>
      </rPr>
      <t xml:space="preserve">数据 </t>
    </r>
    <r>
      <rPr>
        <b val="true"/>
        <sz val="11"/>
        <rFont val="DejaVu Sans"/>
        <family val="2"/>
        <charset val="1"/>
      </rPr>
      <t xml:space="preserve">/ </t>
    </r>
    <r>
      <rPr>
        <b val="true"/>
        <sz val="11"/>
        <rFont val="DejaVu Sans"/>
        <family val="2"/>
      </rPr>
      <t xml:space="preserve">逻辑来源</t>
    </r>
  </si>
  <si>
    <r>
      <rPr>
        <sz val="11"/>
        <color theme="1"/>
        <rFont val="DejaVu Sans"/>
        <family val="2"/>
        <charset val="1"/>
      </rPr>
      <t xml:space="preserve">Q1 2026 </t>
    </r>
    <r>
      <rPr>
        <sz val="11"/>
        <color theme="1"/>
        <rFont val="DejaVu Sans"/>
        <family val="2"/>
      </rPr>
      <t xml:space="preserve">数据 </t>
    </r>
    <r>
      <rPr>
        <sz val="11"/>
        <color theme="1"/>
        <rFont val="DejaVu Sans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文档 </t>
    </r>
    <r>
      <rPr>
        <sz val="11"/>
        <color theme="1"/>
        <rFont val="DejaVu Sans"/>
        <family val="2"/>
        <charset val="1"/>
      </rPr>
      <t xml:space="preserve">bottom-up</t>
    </r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</si>
  <si>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DejaVu Sans"/>
        <family val="2"/>
      </rPr>
      <t xml:space="preserve">数据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文档 </t>
    </r>
    <r>
      <rPr>
        <sz val="11"/>
        <color theme="1"/>
        <rFont val="Calibri"/>
        <family val="2"/>
        <charset val="1"/>
      </rPr>
      <t xml:space="preserve">bottom-up</t>
    </r>
  </si>
  <si>
    <r>
      <rPr>
        <b val="true"/>
        <sz val="11"/>
        <color rgb="FFFFFFFF"/>
        <rFont val="DejaVu Sans"/>
        <family val="2"/>
      </rPr>
      <t xml:space="preserve">四、</t>
    </r>
    <r>
      <rPr>
        <b val="true"/>
        <sz val="11"/>
        <color rgb="FFFFFFFF"/>
        <rFont val="DejaVu Sans"/>
        <family val="2"/>
        <charset val="1"/>
      </rPr>
      <t xml:space="preserve">2030 </t>
    </r>
    <r>
      <rPr>
        <b val="true"/>
        <sz val="11"/>
        <color rgb="FFFFFFFF"/>
        <rFont val="DejaVu Sans"/>
        <family val="2"/>
      </rPr>
      <t xml:space="preserve">长期均值倍数（市场情绪维度，跨情景固定）</t>
    </r>
  </si>
  <si>
    <r>
      <rPr>
        <i val="true"/>
        <sz val="9"/>
        <color rgb="FF666666"/>
        <rFont val="DejaVu Sans"/>
        <family val="2"/>
      </rPr>
      <t xml:space="preserve">原理：倍数是市场情绪</t>
    </r>
    <r>
      <rPr>
        <i val="true"/>
        <sz val="9"/>
        <color rgb="FF666666"/>
        <rFont val="DejaVu Sans"/>
        <family val="2"/>
        <charset val="1"/>
      </rPr>
      <t xml:space="preserve">/</t>
    </r>
    <r>
      <rPr>
        <i val="true"/>
        <sz val="9"/>
        <color rgb="FF666666"/>
        <rFont val="DejaVu Sans"/>
        <family val="2"/>
      </rPr>
      <t xml:space="preserve">利率</t>
    </r>
    <r>
      <rPr>
        <i val="true"/>
        <sz val="9"/>
        <color rgb="FF666666"/>
        <rFont val="DejaVu Sans"/>
        <family val="2"/>
        <charset val="1"/>
      </rPr>
      <t xml:space="preserve">/</t>
    </r>
    <r>
      <rPr>
        <i val="true"/>
        <sz val="9"/>
        <color rgb="FF666666"/>
        <rFont val="DejaVu Sans"/>
        <family val="2"/>
      </rPr>
      <t xml:space="preserve">风险偏好的函数，与业务情景独立。三情景下倍数相同。</t>
    </r>
  </si>
  <si>
    <r>
      <rPr>
        <b val="true"/>
        <sz val="11"/>
        <rFont val="DejaVu Sans"/>
        <family val="2"/>
      </rPr>
      <t xml:space="preserve">基准倍数 </t>
    </r>
    <r>
      <rPr>
        <b val="true"/>
        <sz val="11"/>
        <rFont val="DejaVu Sans"/>
        <family val="2"/>
        <charset val="1"/>
      </rPr>
      <t xml:space="preserve">(P/Sales)</t>
    </r>
  </si>
  <si>
    <t xml:space="preserve">历史区间</t>
  </si>
  <si>
    <t xml:space="preserve">可比公司参考</t>
  </si>
  <si>
    <t xml:space="preserve">4-6x</t>
  </si>
  <si>
    <t xml:space="preserve">成熟广告</t>
  </si>
  <si>
    <t xml:space="preserve">7-10x</t>
  </si>
  <si>
    <t xml:space="preserve">高增速广告</t>
  </si>
  <si>
    <t xml:space="preserve">4-7x</t>
  </si>
  <si>
    <t xml:space="preserve">NFLX 6x</t>
  </si>
  <si>
    <t xml:space="preserve">3-5x</t>
  </si>
  <si>
    <t xml:space="preserve">萎缩业务</t>
  </si>
  <si>
    <t xml:space="preserve">5-8x</t>
  </si>
  <si>
    <r>
      <rPr>
        <i val="true"/>
        <sz val="9"/>
        <color rgb="FF666666"/>
        <rFont val="Arial"/>
        <family val="2"/>
        <charset val="1"/>
      </rPr>
      <t xml:space="preserve">SaaS </t>
    </r>
    <r>
      <rPr>
        <i val="true"/>
        <sz val="9"/>
        <color rgb="FF666666"/>
        <rFont val="DejaVu Sans"/>
        <family val="2"/>
      </rPr>
      <t xml:space="preserve">溢价</t>
    </r>
  </si>
  <si>
    <t xml:space="preserve">5-7x</t>
  </si>
  <si>
    <r>
      <rPr>
        <i val="true"/>
        <sz val="9"/>
        <color rgb="FF666666"/>
        <rFont val="DejaVu Sans"/>
        <family val="2"/>
        <charset val="1"/>
      </rPr>
      <t xml:space="preserve">AWS </t>
    </r>
    <r>
      <rPr>
        <i val="true"/>
        <sz val="9"/>
        <color rgb="FF666666"/>
        <rFont val="DejaVu Sans"/>
        <family val="2"/>
      </rPr>
      <t xml:space="preserve">对标</t>
    </r>
  </si>
  <si>
    <t xml:space="preserve">10-15x</t>
  </si>
  <si>
    <t xml:space="preserve">Snowflake</t>
  </si>
  <si>
    <t xml:space="preserve">3-8x VC</t>
  </si>
  <si>
    <t xml:space="preserve">五、情景概率分配</t>
  </si>
  <si>
    <t xml:space="preserve">Bear</t>
  </si>
  <si>
    <t xml:space="preserve">Base</t>
  </si>
  <si>
    <t xml:space="preserve">Bull</t>
  </si>
  <si>
    <t xml:space="preserve">概率</t>
  </si>
  <si>
    <r>
      <rPr>
        <b val="true"/>
        <sz val="11"/>
        <color rgb="FFFFFFFF"/>
        <rFont val="DejaVu Sans"/>
        <family val="2"/>
      </rPr>
      <t xml:space="preserve">使用提示（方案 </t>
    </r>
    <r>
      <rPr>
        <b val="true"/>
        <sz val="11"/>
        <color rgb="FFFFFFFF"/>
        <rFont val="DejaVu Sans"/>
        <family val="2"/>
        <charset val="1"/>
      </rPr>
      <t xml:space="preserve">A</t>
    </r>
    <r>
      <rPr>
        <b val="true"/>
        <sz val="11"/>
        <color rgb="FFFFFFFF"/>
        <rFont val="DejaVu Sans"/>
        <family val="2"/>
      </rPr>
      <t xml:space="preserve">）</t>
    </r>
  </si>
  <si>
    <r>
      <rPr>
        <i val="true"/>
        <sz val="9"/>
        <color rgb="FF666666"/>
        <rFont val="Arial"/>
        <family val="2"/>
        <charset val="1"/>
      </rPr>
      <t xml:space="preserve">1. </t>
    </r>
    <r>
      <rPr>
        <i val="true"/>
        <sz val="9"/>
        <color rgb="FF666666"/>
        <rFont val="DejaVu Sans"/>
        <family val="2"/>
      </rPr>
      <t xml:space="preserve">每月更新 </t>
    </r>
    <r>
      <rPr>
        <i val="true"/>
        <sz val="9"/>
        <color rgb="FF666666"/>
        <rFont val="Arial"/>
        <family val="2"/>
        <charset val="1"/>
      </rPr>
      <t xml:space="preserve">C7</t>
    </r>
    <r>
      <rPr>
        <i val="true"/>
        <sz val="9"/>
        <color rgb="FF666666"/>
        <rFont val="DejaVu Sans"/>
        <family val="2"/>
      </rPr>
      <t xml:space="preserve">（股价）和 </t>
    </r>
    <r>
      <rPr>
        <i val="true"/>
        <sz val="9"/>
        <color rgb="FF666666"/>
        <rFont val="Arial"/>
        <family val="2"/>
        <charset val="1"/>
      </rPr>
      <t xml:space="preserve">C8</t>
    </r>
    <r>
      <rPr>
        <i val="true"/>
        <sz val="9"/>
        <color rgb="FF666666"/>
        <rFont val="DejaVu Sans"/>
        <family val="2"/>
      </rPr>
      <t xml:space="preserve">（流通股本）</t>
    </r>
  </si>
  <si>
    <r>
      <rPr>
        <i val="true"/>
        <sz val="9"/>
        <color rgb="FF666666"/>
        <rFont val="Arial"/>
        <family val="2"/>
        <charset val="1"/>
      </rPr>
      <t xml:space="preserve">2. </t>
    </r>
    <r>
      <rPr>
        <i val="true"/>
        <sz val="9"/>
        <color rgb="FF666666"/>
        <rFont val="DejaVu Sans"/>
        <family val="2"/>
      </rPr>
      <t xml:space="preserve">年报后更新业务线营收（</t>
    </r>
    <r>
      <rPr>
        <i val="true"/>
        <sz val="9"/>
        <color rgb="FF666666"/>
        <rFont val="Arial"/>
        <family val="2"/>
        <charset val="1"/>
      </rPr>
      <t xml:space="preserve">C16-C22</t>
    </r>
    <r>
      <rPr>
        <i val="true"/>
        <sz val="9"/>
        <color rgb="FF666666"/>
        <rFont val="DejaVu Sans"/>
        <family val="2"/>
      </rPr>
      <t xml:space="preserve">）</t>
    </r>
  </si>
  <si>
    <r>
      <rPr>
        <i val="true"/>
        <sz val="9"/>
        <color rgb="FF666666"/>
        <rFont val="Arial"/>
        <family val="2"/>
        <charset val="1"/>
      </rPr>
      <t xml:space="preserve">3. CAGR</t>
    </r>
    <r>
      <rPr>
        <i val="true"/>
        <sz val="9"/>
        <color rgb="FF666666"/>
        <rFont val="DejaVu Sans"/>
        <family val="2"/>
      </rPr>
      <t xml:space="preserve">（</t>
    </r>
    <r>
      <rPr>
        <i val="true"/>
        <sz val="9"/>
        <color rgb="FF666666"/>
        <rFont val="Arial"/>
        <family val="2"/>
        <charset val="1"/>
      </rPr>
      <t xml:space="preserve">C28-E34</t>
    </r>
    <r>
      <rPr>
        <i val="true"/>
        <sz val="9"/>
        <color rgb="FF666666"/>
        <rFont val="DejaVu Sans"/>
        <family val="2"/>
      </rPr>
      <t xml:space="preserve">）反映</t>
    </r>
    <r>
      <rPr>
        <i val="true"/>
        <sz val="9"/>
        <color rgb="FF666666"/>
        <rFont val="Arial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业务表现</t>
    </r>
    <r>
      <rPr>
        <i val="true"/>
        <sz val="9"/>
        <color rgb="FF666666"/>
        <rFont val="Arial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假设 — 三情景间变化</t>
    </r>
  </si>
  <si>
    <r>
      <rPr>
        <i val="true"/>
        <sz val="9"/>
        <color rgb="FF666666"/>
        <rFont val="Arial"/>
        <family val="2"/>
        <charset val="1"/>
      </rPr>
      <t xml:space="preserve">4. </t>
    </r>
    <r>
      <rPr>
        <i val="true"/>
        <sz val="9"/>
        <color rgb="FF666666"/>
        <rFont val="DejaVu Sans"/>
        <family val="2"/>
      </rPr>
      <t xml:space="preserve">倍数（</t>
    </r>
    <r>
      <rPr>
        <i val="true"/>
        <sz val="9"/>
        <color rgb="FF666666"/>
        <rFont val="Arial"/>
        <family val="2"/>
        <charset val="1"/>
      </rPr>
      <t xml:space="preserve">C39-C45</t>
    </r>
    <r>
      <rPr>
        <i val="true"/>
        <sz val="9"/>
        <color rgb="FF666666"/>
        <rFont val="DejaVu Sans"/>
        <family val="2"/>
      </rPr>
      <t xml:space="preserve">）反映</t>
    </r>
    <r>
      <rPr>
        <i val="true"/>
        <sz val="9"/>
        <color rgb="FF666666"/>
        <rFont val="Arial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市场情绪</t>
    </r>
    <r>
      <rPr>
        <i val="true"/>
        <sz val="9"/>
        <color rgb="FF666666"/>
        <rFont val="Arial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假设 — 跨情景固定</t>
    </r>
  </si>
  <si>
    <r>
      <rPr>
        <i val="true"/>
        <sz val="9"/>
        <color rgb="FF666666"/>
        <rFont val="Arial"/>
        <family val="2"/>
        <charset val="1"/>
      </rPr>
      <t xml:space="preserve">5. </t>
    </r>
    <r>
      <rPr>
        <i val="true"/>
        <sz val="9"/>
        <color rgb="FF666666"/>
        <rFont val="DejaVu Sans"/>
        <family val="2"/>
      </rPr>
      <t xml:space="preserve">倍数变化的情况单独在 </t>
    </r>
    <r>
      <rPr>
        <i val="true"/>
        <sz val="9"/>
        <color rgb="FF666666"/>
        <rFont val="Arial"/>
        <family val="2"/>
        <charset val="1"/>
      </rPr>
      <t xml:space="preserve">Sheet 3 </t>
    </r>
    <r>
      <rPr>
        <i val="true"/>
        <sz val="9"/>
        <color rgb="FF666666"/>
        <rFont val="DejaVu Sans"/>
        <family val="2"/>
      </rPr>
      <t xml:space="preserve">末尾的</t>
    </r>
    <r>
      <rPr>
        <i val="true"/>
        <sz val="9"/>
        <color rgb="FF666666"/>
        <rFont val="Arial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敏感性表</t>
    </r>
    <r>
      <rPr>
        <i val="true"/>
        <sz val="9"/>
        <color rgb="FF666666"/>
        <rFont val="Arial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看</t>
    </r>
  </si>
  <si>
    <t xml:space="preserve">六、更新日志</t>
  </si>
  <si>
    <t xml:space="preserve">日期</t>
  </si>
  <si>
    <t xml:space="preserve">版本</t>
  </si>
  <si>
    <t xml:space="preserve">修订内容</t>
  </si>
  <si>
    <t xml:space="preserve">2026-05-08</t>
  </si>
  <si>
    <t xml:space="preserve">v1.0</t>
  </si>
  <si>
    <r>
      <rPr>
        <sz val="11"/>
        <color theme="1"/>
        <rFont val="DejaVu Sans"/>
        <family val="2"/>
      </rPr>
      <t xml:space="preserve">初版（方案</t>
    </r>
    <r>
      <rPr>
        <sz val="11"/>
        <color theme="1"/>
        <rFont val="DejaVu Sans"/>
        <family val="2"/>
        <charset val="1"/>
      </rPr>
      <t xml:space="preserve">A</t>
    </r>
    <r>
      <rPr>
        <sz val="11"/>
        <color theme="1"/>
        <rFont val="DejaVu Sans"/>
        <family val="2"/>
      </rPr>
      <t xml:space="preserve">，单一倍数 </t>
    </r>
    <r>
      <rPr>
        <sz val="11"/>
        <color theme="1"/>
        <rFont val="DejaVu Sans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三情景 </t>
    </r>
    <r>
      <rPr>
        <sz val="11"/>
        <color theme="1"/>
        <rFont val="DejaVu Sans"/>
        <family val="2"/>
        <charset val="1"/>
      </rPr>
      <t xml:space="preserve">CAGR</t>
    </r>
    <r>
      <rPr>
        <sz val="11"/>
        <color theme="1"/>
        <rFont val="DejaVu Sans"/>
        <family val="2"/>
      </rPr>
      <t xml:space="preserve">）；</t>
    </r>
    <r>
      <rPr>
        <sz val="11"/>
        <color theme="1"/>
        <rFont val="DejaVu Sans"/>
        <family val="2"/>
        <charset val="1"/>
      </rPr>
      <t xml:space="preserve">DeepMind CAGR bug </t>
    </r>
    <r>
      <rPr>
        <sz val="11"/>
        <color theme="1"/>
        <rFont val="DejaVu Sans"/>
        <family val="2"/>
      </rPr>
      <t xml:space="preserve">已修</t>
    </r>
  </si>
  <si>
    <t xml:space="preserve">v2.0</t>
  </si>
  <si>
    <r>
      <rPr>
        <sz val="11"/>
        <color theme="1"/>
        <rFont val="DejaVu Sans"/>
        <family val="2"/>
      </rPr>
      <t xml:space="preserve">基于 </t>
    </r>
    <r>
      <rPr>
        <sz val="11"/>
        <color theme="1"/>
        <rFont val="DejaVu Sans"/>
        <family val="2"/>
        <charset val="1"/>
      </rPr>
      <t xml:space="preserve">Q1 2026 </t>
    </r>
    <r>
      <rPr>
        <sz val="11"/>
        <color theme="1"/>
        <rFont val="DejaVu Sans"/>
        <family val="2"/>
      </rPr>
      <t xml:space="preserve">数据校准：</t>
    </r>
    <r>
      <rPr>
        <sz val="11"/>
        <color theme="1"/>
        <rFont val="DejaVu Sans"/>
        <family val="2"/>
        <charset val="1"/>
      </rPr>
      <t xml:space="preserve">Search 3/6/10 → 8/13/18</t>
    </r>
    <r>
      <rPr>
        <sz val="11"/>
        <color theme="1"/>
        <rFont val="DejaVu Sans"/>
        <family val="2"/>
      </rPr>
      <t xml:space="preserve">；</t>
    </r>
    <r>
      <rPr>
        <sz val="11"/>
        <color theme="1"/>
        <rFont val="DejaVu Sans"/>
        <family val="2"/>
        <charset val="1"/>
      </rPr>
      <t xml:space="preserve">Cloud 18/25/33 → 22/30/38</t>
    </r>
    <r>
      <rPr>
        <sz val="11"/>
        <color theme="1"/>
        <rFont val="DejaVu Sans"/>
        <family val="2"/>
      </rPr>
      <t xml:space="preserve">；营收基线修正</t>
    </r>
  </si>
  <si>
    <t xml:space="preserve">v2.1</t>
  </si>
  <si>
    <r>
      <rPr>
        <sz val="11"/>
        <color theme="1"/>
        <rFont val="DejaVu Sans"/>
        <family val="2"/>
      </rPr>
      <t xml:space="preserve">股本精度修正 </t>
    </r>
    <r>
      <rPr>
        <sz val="11"/>
        <color theme="1"/>
        <rFont val="DejaVu Sans"/>
        <family val="2"/>
        <charset val="1"/>
      </rPr>
      <t xml:space="preserve">12.1 → 12.116</t>
    </r>
    <r>
      <rPr>
        <sz val="11"/>
        <color theme="1"/>
        <rFont val="DejaVu Sans"/>
        <family val="2"/>
      </rPr>
      <t xml:space="preserve">（</t>
    </r>
    <r>
      <rPr>
        <sz val="11"/>
        <color theme="1"/>
        <rFont val="DejaVu Sans"/>
        <family val="2"/>
        <charset val="1"/>
      </rPr>
      <t xml:space="preserve">10-Q Q1 2026 </t>
    </r>
    <r>
      <rPr>
        <sz val="11"/>
        <color theme="1"/>
        <rFont val="DejaVu Sans"/>
        <family val="2"/>
      </rPr>
      <t xml:space="preserve">封面）；增加数据溯源</t>
    </r>
  </si>
  <si>
    <t xml:space="preserve">v3.0</t>
  </si>
  <si>
    <r>
      <rPr>
        <sz val="11"/>
        <color theme="1"/>
        <rFont val="DejaVu Sans"/>
        <family val="2"/>
      </rPr>
      <t xml:space="preserve">类目重构：与 </t>
    </r>
    <r>
      <rPr>
        <sz val="11"/>
        <color theme="1"/>
        <rFont val="DejaVu Sans"/>
        <family val="2"/>
        <charset val="1"/>
      </rPr>
      <t xml:space="preserve">Alphabet </t>
    </r>
    <r>
      <rPr>
        <sz val="11"/>
        <color theme="1"/>
        <rFont val="DejaVu Sans"/>
        <family val="2"/>
      </rPr>
      <t xml:space="preserve">官方分段一致（</t>
    </r>
    <r>
      <rPr>
        <sz val="11"/>
        <color theme="1"/>
        <rFont val="DejaVu Sans"/>
        <family val="2"/>
        <charset val="1"/>
      </rPr>
      <t xml:space="preserve">6 </t>
    </r>
    <r>
      <rPr>
        <sz val="11"/>
        <color theme="1"/>
        <rFont val="DejaVu Sans"/>
        <family val="2"/>
      </rPr>
      <t xml:space="preserve">大类）；新增 </t>
    </r>
    <r>
      <rPr>
        <sz val="11"/>
        <color theme="1"/>
        <rFont val="DejaVu Sans"/>
        <family val="2"/>
        <charset val="1"/>
      </rPr>
      <t xml:space="preserve">Google Network</t>
    </r>
    <r>
      <rPr>
        <sz val="11"/>
        <color theme="1"/>
        <rFont val="DejaVu Sans"/>
        <family val="2"/>
      </rPr>
      <t xml:space="preserve">；</t>
    </r>
    <r>
      <rPr>
        <sz val="11"/>
        <color theme="1"/>
        <rFont val="DejaVu Sans"/>
        <family val="2"/>
        <charset val="1"/>
      </rPr>
      <t xml:space="preserve">DeepMind </t>
    </r>
    <r>
      <rPr>
        <sz val="11"/>
        <color theme="1"/>
        <rFont val="DejaVu Sans"/>
        <family val="2"/>
      </rPr>
      <t xml:space="preserve">不再单列；</t>
    </r>
    <r>
      <rPr>
        <sz val="11"/>
        <color theme="1"/>
        <rFont val="DejaVu Sans"/>
        <family val="2"/>
        <charset val="1"/>
      </rPr>
      <t xml:space="preserve">2025 </t>
    </r>
    <r>
      <rPr>
        <sz val="11"/>
        <color theme="1"/>
        <rFont val="DejaVu Sans"/>
        <family val="2"/>
      </rPr>
      <t xml:space="preserve">基线 </t>
    </r>
    <r>
      <rPr>
        <sz val="11"/>
        <color theme="1"/>
        <rFont val="DejaVu Sans"/>
        <family val="2"/>
        <charset val="1"/>
      </rPr>
      <t xml:space="preserve">$375B → $401B </t>
    </r>
    <r>
      <rPr>
        <sz val="11"/>
        <color theme="1"/>
        <rFont val="DejaVu Sans"/>
        <family val="2"/>
      </rPr>
      <t xml:space="preserve">与 </t>
    </r>
    <r>
      <rPr>
        <sz val="11"/>
        <color theme="1"/>
        <rFont val="DejaVu Sans"/>
        <family val="2"/>
        <charset val="1"/>
      </rPr>
      <t xml:space="preserve">10-K </t>
    </r>
    <r>
      <rPr>
        <sz val="11"/>
        <color theme="1"/>
        <rFont val="DejaVu Sans"/>
        <family val="2"/>
      </rPr>
      <t xml:space="preserve">一致</t>
    </r>
  </si>
  <si>
    <t xml:space="preserve">v3.1</t>
  </si>
  <si>
    <r>
      <rPr>
        <sz val="11"/>
        <color theme="1"/>
        <rFont val="DejaVu Sans"/>
        <family val="2"/>
      </rPr>
      <t xml:space="preserve">增加回购率参数（</t>
    </r>
    <r>
      <rPr>
        <sz val="11"/>
        <color theme="1"/>
        <rFont val="DejaVu Sans"/>
        <family val="2"/>
        <charset val="1"/>
      </rPr>
      <t xml:space="preserve">C12</t>
    </r>
    <r>
      <rPr>
        <sz val="11"/>
        <color theme="1"/>
        <rFont val="DejaVu Sans"/>
        <family val="2"/>
      </rPr>
      <t xml:space="preserve">，默认 </t>
    </r>
    <r>
      <rPr>
        <sz val="11"/>
        <color theme="1"/>
        <rFont val="DejaVu Sans"/>
        <family val="2"/>
        <charset val="1"/>
      </rPr>
      <t xml:space="preserve">2%</t>
    </r>
    <r>
      <rPr>
        <sz val="11"/>
        <color theme="1"/>
        <rFont val="DejaVu Sans"/>
        <family val="2"/>
      </rPr>
      <t xml:space="preserve">）；</t>
    </r>
    <r>
      <rPr>
        <sz val="11"/>
        <color theme="1"/>
        <rFont val="DejaVu Sans"/>
        <family val="2"/>
        <charset val="1"/>
      </rPr>
      <t xml:space="preserve">Sheet 3/4 </t>
    </r>
    <r>
      <rPr>
        <sz val="11"/>
        <color theme="1"/>
        <rFont val="DejaVu Sans"/>
        <family val="2"/>
      </rPr>
      <t xml:space="preserve">增加单股视角；增加管理层信号解读区</t>
    </r>
  </si>
  <si>
    <t xml:space="preserve">v4.0</t>
  </si>
  <si>
    <r>
      <rPr>
        <sz val="11"/>
        <color theme="1"/>
        <rFont val="DejaVu Sans"/>
        <family val="2"/>
      </rPr>
      <t xml:space="preserve">架构性重构：</t>
    </r>
    <r>
      <rPr>
        <sz val="11"/>
        <color theme="1"/>
        <rFont val="DejaVu Sans"/>
        <family val="2"/>
        <charset val="1"/>
      </rPr>
      <t xml:space="preserve">8 </t>
    </r>
    <r>
      <rPr>
        <sz val="11"/>
        <color theme="1"/>
        <rFont val="DejaVu Sans"/>
        <family val="2"/>
      </rPr>
      <t xml:space="preserve">业务线（拆分 </t>
    </r>
    <r>
      <rPr>
        <sz val="11"/>
        <color theme="1"/>
        <rFont val="DejaVu Sans"/>
        <family val="2"/>
        <charset val="1"/>
      </rPr>
      <t xml:space="preserve">Search/Cloud </t>
    </r>
    <r>
      <rPr>
        <sz val="11"/>
        <color theme="1"/>
        <rFont val="DejaVu Sans"/>
        <family val="2"/>
      </rPr>
      <t xml:space="preserve">为传统</t>
    </r>
    <r>
      <rPr>
        <sz val="11"/>
        <color theme="1"/>
        <rFont val="DejaVu Sans"/>
        <family val="2"/>
        <charset val="1"/>
      </rPr>
      <t xml:space="preserve">+AI</t>
    </r>
    <r>
      <rPr>
        <sz val="11"/>
        <color theme="1"/>
        <rFont val="DejaVu Sans"/>
        <family val="2"/>
      </rPr>
      <t xml:space="preserve">）；新增 </t>
    </r>
    <r>
      <rPr>
        <sz val="11"/>
        <color theme="1"/>
        <rFont val="DejaVu Sans"/>
        <family val="2"/>
        <charset val="1"/>
      </rPr>
      <t xml:space="preserve">Sheet 6 </t>
    </r>
    <r>
      <rPr>
        <sz val="11"/>
        <color theme="1"/>
        <rFont val="DejaVu Sans"/>
        <family val="2"/>
      </rPr>
      <t xml:space="preserve">期权组合；新增 </t>
    </r>
    <r>
      <rPr>
        <sz val="11"/>
        <color theme="1"/>
        <rFont val="DejaVu Sans"/>
        <family val="2"/>
        <charset val="1"/>
      </rPr>
      <t xml:space="preserve">Sheet 7 AI KPI </t>
    </r>
    <r>
      <rPr>
        <sz val="11"/>
        <color theme="1"/>
        <rFont val="DejaVu Sans"/>
        <family val="2"/>
      </rPr>
      <t xml:space="preserve">跟踪；与文档 </t>
    </r>
    <r>
      <rPr>
        <sz val="11"/>
        <color theme="1"/>
        <rFont val="DejaVu Sans"/>
        <family val="2"/>
        <charset val="1"/>
      </rPr>
      <t xml:space="preserve">bottom-up </t>
    </r>
    <r>
      <rPr>
        <sz val="11"/>
        <color theme="1"/>
        <rFont val="DejaVu Sans"/>
        <family val="2"/>
      </rPr>
      <t xml:space="preserve">框架对齐</t>
    </r>
  </si>
  <si>
    <r>
      <rPr>
        <b val="true"/>
        <sz val="14"/>
        <rFont val="Cambria"/>
        <family val="0"/>
        <charset val="1"/>
      </rPr>
      <t xml:space="preserve">Google 5 </t>
    </r>
    <r>
      <rPr>
        <b val="true"/>
        <sz val="14"/>
        <rFont val="DejaVu Sans"/>
        <family val="2"/>
      </rPr>
      <t xml:space="preserve">年三情景营收预测 </t>
    </r>
    <r>
      <rPr>
        <b val="true"/>
        <sz val="14"/>
        <rFont val="Cambria"/>
        <family val="0"/>
        <charset val="1"/>
      </rPr>
      <t xml:space="preserve">(2025 → 2030)</t>
    </r>
  </si>
  <si>
    <r>
      <rPr>
        <i val="true"/>
        <sz val="11"/>
        <color rgb="FF808080"/>
        <rFont val="DejaVu Sans"/>
        <family val="2"/>
      </rPr>
      <t xml:space="preserve">基于 </t>
    </r>
    <r>
      <rPr>
        <i val="true"/>
        <sz val="11"/>
        <color rgb="FF808080"/>
        <rFont val="DejaVu Sans"/>
        <family val="2"/>
        <charset val="1"/>
      </rPr>
      <t xml:space="preserve">Sheet 1 </t>
    </r>
    <r>
      <rPr>
        <i val="true"/>
        <sz val="11"/>
        <color rgb="FF808080"/>
        <rFont val="DejaVu Sans"/>
        <family val="2"/>
      </rPr>
      <t xml:space="preserve">输入自动计算 — 你不需要修改这里</t>
    </r>
  </si>
  <si>
    <r>
      <rPr>
        <b val="true"/>
        <sz val="11"/>
        <color rgb="FFB22222"/>
        <rFont val="Cambria"/>
        <family val="0"/>
        <charset val="1"/>
      </rPr>
      <t xml:space="preserve">Bear </t>
    </r>
    <r>
      <rPr>
        <b val="true"/>
        <sz val="11"/>
        <color rgb="FFB22222"/>
        <rFont val="DejaVu Sans"/>
        <family val="2"/>
      </rPr>
      <t xml:space="preserve">情景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</si>
  <si>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DejaVu Sans"/>
        <family val="2"/>
      </rPr>
      <t xml:space="preserve">传统广告</t>
    </r>
  </si>
  <si>
    <r>
      <rPr>
        <sz val="11"/>
        <color theme="1"/>
        <rFont val="Calibri"/>
        <family val="2"/>
        <charset val="1"/>
      </rPr>
      <t xml:space="preserve">Search AI </t>
    </r>
    <r>
      <rPr>
        <sz val="11"/>
        <color theme="1"/>
        <rFont val="DejaVu Sans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</si>
  <si>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DejaVu Sans"/>
        <family val="2"/>
      </rPr>
      <t xml:space="preserve">传统 </t>
    </r>
    <r>
      <rPr>
        <sz val="11"/>
        <color theme="1"/>
        <rFont val="Calibri"/>
        <family val="2"/>
        <charset val="1"/>
      </rPr>
      <t xml:space="preserve">GCP</t>
    </r>
  </si>
  <si>
    <r>
      <rPr>
        <b val="true"/>
        <sz val="11"/>
        <rFont val="Cambria"/>
        <family val="0"/>
        <charset val="1"/>
      </rPr>
      <t xml:space="preserve">Bear </t>
    </r>
    <r>
      <rPr>
        <b val="true"/>
        <sz val="11"/>
        <rFont val="DejaVu Sans"/>
        <family val="2"/>
      </rPr>
      <t xml:space="preserve">总营收</t>
    </r>
  </si>
  <si>
    <r>
      <rPr>
        <b val="true"/>
        <sz val="11"/>
        <color rgb="FF1F4E79"/>
        <rFont val="Cambria"/>
        <family val="0"/>
        <charset val="1"/>
      </rPr>
      <t xml:space="preserve">Base </t>
    </r>
    <r>
      <rPr>
        <b val="true"/>
        <sz val="11"/>
        <color rgb="FF1F4E79"/>
        <rFont val="DejaVu Sans"/>
        <family val="2"/>
      </rPr>
      <t xml:space="preserve">情景</t>
    </r>
  </si>
  <si>
    <r>
      <rPr>
        <b val="true"/>
        <sz val="11"/>
        <rFont val="Cambria"/>
        <family val="0"/>
        <charset val="1"/>
      </rPr>
      <t xml:space="preserve">Base </t>
    </r>
    <r>
      <rPr>
        <b val="true"/>
        <sz val="11"/>
        <rFont val="DejaVu Sans"/>
        <family val="2"/>
      </rPr>
      <t xml:space="preserve">总营收</t>
    </r>
  </si>
  <si>
    <r>
      <rPr>
        <b val="true"/>
        <sz val="11"/>
        <color rgb="FF2E7D32"/>
        <rFont val="Cambria"/>
        <family val="0"/>
        <charset val="1"/>
      </rPr>
      <t xml:space="preserve">Bull </t>
    </r>
    <r>
      <rPr>
        <b val="true"/>
        <sz val="11"/>
        <color rgb="FF2E7D32"/>
        <rFont val="DejaVu Sans"/>
        <family val="2"/>
      </rPr>
      <t xml:space="preserve">情景</t>
    </r>
  </si>
  <si>
    <r>
      <rPr>
        <b val="true"/>
        <sz val="11"/>
        <rFont val="Cambria"/>
        <family val="0"/>
        <charset val="1"/>
      </rPr>
      <t xml:space="preserve">Bull </t>
    </r>
    <r>
      <rPr>
        <b val="true"/>
        <sz val="11"/>
        <rFont val="DejaVu Sans"/>
        <family val="2"/>
      </rPr>
      <t xml:space="preserve">总营收</t>
    </r>
  </si>
  <si>
    <r>
      <rPr>
        <b val="true"/>
        <sz val="14"/>
        <rFont val="Cambria"/>
        <family val="0"/>
        <charset val="1"/>
      </rPr>
      <t xml:space="preserve">SOTP </t>
    </r>
    <r>
      <rPr>
        <b val="true"/>
        <sz val="14"/>
        <rFont val="DejaVu Sans"/>
        <family val="2"/>
      </rPr>
      <t xml:space="preserve">三情景估值（</t>
    </r>
    <r>
      <rPr>
        <b val="true"/>
        <sz val="14"/>
        <rFont val="Cambria"/>
        <family val="0"/>
        <charset val="1"/>
      </rPr>
      <t xml:space="preserve">v4.0</t>
    </r>
    <r>
      <rPr>
        <b val="true"/>
        <sz val="14"/>
        <rFont val="DejaVu Sans"/>
        <family val="2"/>
      </rPr>
      <t xml:space="preserve">：</t>
    </r>
    <r>
      <rPr>
        <b val="true"/>
        <sz val="14"/>
        <rFont val="Cambria"/>
        <family val="0"/>
        <charset val="1"/>
      </rPr>
      <t xml:space="preserve">8 </t>
    </r>
    <r>
      <rPr>
        <b val="true"/>
        <sz val="14"/>
        <rFont val="DejaVu Sans"/>
        <family val="2"/>
      </rPr>
      <t xml:space="preserve">业务线 </t>
    </r>
    <r>
      <rPr>
        <b val="true"/>
        <sz val="14"/>
        <rFont val="Cambria"/>
        <family val="0"/>
        <charset val="1"/>
      </rPr>
      <t xml:space="preserve">+ </t>
    </r>
    <r>
      <rPr>
        <b val="true"/>
        <sz val="14"/>
        <rFont val="DejaVu Sans"/>
        <family val="2"/>
      </rPr>
      <t xml:space="preserve">期权组合）</t>
    </r>
  </si>
  <si>
    <r>
      <rPr>
        <i val="true"/>
        <sz val="11"/>
        <color rgb="FF808080"/>
        <rFont val="DejaVu Sans"/>
        <family val="2"/>
      </rPr>
      <t xml:space="preserve">三情景只让 </t>
    </r>
    <r>
      <rPr>
        <i val="true"/>
        <sz val="11"/>
        <color rgb="FF808080"/>
        <rFont val="DejaVu Sans"/>
        <family val="2"/>
        <charset val="1"/>
      </rPr>
      <t xml:space="preserve">CAGR </t>
    </r>
    <r>
      <rPr>
        <i val="true"/>
        <sz val="11"/>
        <color rgb="FF808080"/>
        <rFont val="DejaVu Sans"/>
        <family val="2"/>
      </rPr>
      <t xml:space="preserve">变化；倍数固定（市场情绪独立维度，见下方敏感性）</t>
    </r>
  </si>
  <si>
    <r>
      <rPr>
        <b val="true"/>
        <sz val="11"/>
        <color rgb="FFB22222"/>
        <rFont val="Cambria"/>
        <family val="0"/>
        <charset val="1"/>
      </rPr>
      <t xml:space="preserve">Bear </t>
    </r>
    <r>
      <rPr>
        <b val="true"/>
        <sz val="11"/>
        <color rgb="FFB22222"/>
        <rFont val="DejaVu Sans"/>
        <family val="2"/>
      </rPr>
      <t xml:space="preserve">情景 </t>
    </r>
    <r>
      <rPr>
        <b val="true"/>
        <sz val="11"/>
        <color rgb="FFB22222"/>
        <rFont val="Cambria"/>
        <family val="0"/>
        <charset val="1"/>
      </rPr>
      <t xml:space="preserve">SOTP</t>
    </r>
  </si>
  <si>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DejaVu Sans"/>
        <family val="2"/>
      </rPr>
      <t xml:space="preserve">营收</t>
    </r>
  </si>
  <si>
    <t xml:space="preserve">倍数</t>
  </si>
  <si>
    <t xml:space="preserve">2030 EV</t>
  </si>
  <si>
    <r>
      <rPr>
        <b val="true"/>
        <sz val="11"/>
        <rFont val="DejaVu Sans"/>
        <family val="2"/>
      </rPr>
      <t xml:space="preserve">折现回 </t>
    </r>
    <r>
      <rPr>
        <b val="true"/>
        <sz val="11"/>
        <rFont val="DejaVu Sans"/>
        <family val="2"/>
        <charset val="1"/>
      </rPr>
      <t xml:space="preserve">2026</t>
    </r>
  </si>
  <si>
    <r>
      <rPr>
        <b val="true"/>
        <sz val="11"/>
        <rFont val="Cambria"/>
        <family val="0"/>
        <charset val="1"/>
      </rPr>
      <t xml:space="preserve">Bear </t>
    </r>
    <r>
      <rPr>
        <b val="true"/>
        <sz val="11"/>
        <rFont val="DejaVu Sans"/>
        <family val="2"/>
      </rPr>
      <t xml:space="preserve">加和</t>
    </r>
  </si>
  <si>
    <r>
      <rPr>
        <b val="true"/>
        <sz val="11"/>
        <color rgb="FF1F4E79"/>
        <rFont val="Cambria"/>
        <family val="0"/>
        <charset val="1"/>
      </rPr>
      <t xml:space="preserve">Base </t>
    </r>
    <r>
      <rPr>
        <b val="true"/>
        <sz val="11"/>
        <color rgb="FF1F4E79"/>
        <rFont val="DejaVu Sans"/>
        <family val="2"/>
      </rPr>
      <t xml:space="preserve">情景 </t>
    </r>
    <r>
      <rPr>
        <b val="true"/>
        <sz val="11"/>
        <color rgb="FF1F4E79"/>
        <rFont val="Cambria"/>
        <family val="0"/>
        <charset val="1"/>
      </rPr>
      <t xml:space="preserve">SOTP</t>
    </r>
  </si>
  <si>
    <r>
      <rPr>
        <b val="true"/>
        <sz val="11"/>
        <rFont val="Cambria"/>
        <family val="0"/>
        <charset val="1"/>
      </rPr>
      <t xml:space="preserve">Base </t>
    </r>
    <r>
      <rPr>
        <b val="true"/>
        <sz val="11"/>
        <rFont val="DejaVu Sans"/>
        <family val="2"/>
      </rPr>
      <t xml:space="preserve">加和</t>
    </r>
  </si>
  <si>
    <r>
      <rPr>
        <b val="true"/>
        <sz val="11"/>
        <color rgb="FF2E7D32"/>
        <rFont val="Cambria"/>
        <family val="0"/>
        <charset val="1"/>
      </rPr>
      <t xml:space="preserve">Bull </t>
    </r>
    <r>
      <rPr>
        <b val="true"/>
        <sz val="11"/>
        <color rgb="FF2E7D32"/>
        <rFont val="DejaVu Sans"/>
        <family val="2"/>
      </rPr>
      <t xml:space="preserve">情景 </t>
    </r>
    <r>
      <rPr>
        <b val="true"/>
        <sz val="11"/>
        <color rgb="FF2E7D32"/>
        <rFont val="Cambria"/>
        <family val="0"/>
        <charset val="1"/>
      </rPr>
      <t xml:space="preserve">SOTP</t>
    </r>
  </si>
  <si>
    <r>
      <rPr>
        <b val="true"/>
        <sz val="11"/>
        <rFont val="Cambria"/>
        <family val="0"/>
        <charset val="1"/>
      </rPr>
      <t xml:space="preserve">Bull </t>
    </r>
    <r>
      <rPr>
        <b val="true"/>
        <sz val="11"/>
        <rFont val="DejaVu Sans"/>
        <family val="2"/>
      </rPr>
      <t xml:space="preserve">加和</t>
    </r>
  </si>
  <si>
    <t xml:space="preserve">⭐ 基准加权公允价值（基本面维度）</t>
  </si>
  <si>
    <t xml:space="preserve">情景</t>
  </si>
  <si>
    <t xml:space="preserve">2030 EV ($B)</t>
  </si>
  <si>
    <r>
      <rPr>
        <b val="true"/>
        <sz val="11"/>
        <rFont val="DejaVu Sans"/>
        <family val="2"/>
      </rPr>
      <t xml:space="preserve">今天公允 </t>
    </r>
    <r>
      <rPr>
        <b val="true"/>
        <sz val="11"/>
        <rFont val="DejaVu Sans"/>
        <family val="2"/>
        <charset val="1"/>
      </rPr>
      <t xml:space="preserve">($B)</t>
    </r>
  </si>
  <si>
    <r>
      <rPr>
        <b val="true"/>
        <sz val="11"/>
        <rFont val="DejaVu Sans"/>
        <family val="2"/>
      </rPr>
      <t xml:space="preserve">加权贡献 </t>
    </r>
    <r>
      <rPr>
        <b val="true"/>
        <sz val="11"/>
        <rFont val="DejaVu Sans"/>
        <family val="2"/>
        <charset val="1"/>
      </rPr>
      <t xml:space="preserve">($B)</t>
    </r>
  </si>
  <si>
    <t xml:space="preserve">加权公允价值（基准倍数，不含期权）</t>
  </si>
  <si>
    <r>
      <rPr>
        <b val="true"/>
        <sz val="11"/>
        <color rgb="FF2E7D32"/>
        <rFont val="Cambria"/>
        <family val="0"/>
        <charset val="1"/>
      </rPr>
      <t xml:space="preserve">+ </t>
    </r>
    <r>
      <rPr>
        <b val="true"/>
        <sz val="11"/>
        <color rgb="FF2E7D32"/>
        <rFont val="DejaVu Sans"/>
        <family val="2"/>
      </rPr>
      <t xml:space="preserve">期权组合（</t>
    </r>
    <r>
      <rPr>
        <b val="true"/>
        <sz val="11"/>
        <color rgb="FF2E7D32"/>
        <rFont val="Cambria"/>
        <family val="0"/>
        <charset val="1"/>
      </rPr>
      <t xml:space="preserve">Real Option Value</t>
    </r>
    <r>
      <rPr>
        <b val="true"/>
        <sz val="11"/>
        <color rgb="FF2E7D32"/>
        <rFont val="DejaVu Sans"/>
        <family val="2"/>
      </rPr>
      <t xml:space="preserve">，来自 </t>
    </r>
    <r>
      <rPr>
        <b val="true"/>
        <sz val="11"/>
        <color rgb="FF2E7D32"/>
        <rFont val="Cambria"/>
        <family val="0"/>
        <charset val="1"/>
      </rPr>
      <t xml:space="preserve">Sheet 6</t>
    </r>
    <r>
      <rPr>
        <b val="true"/>
        <sz val="11"/>
        <color rgb="FF2E7D32"/>
        <rFont val="DejaVu Sans"/>
        <family val="2"/>
      </rPr>
      <t xml:space="preserve">）</t>
    </r>
  </si>
  <si>
    <t xml:space="preserve">⭐ 总公允价值（含期权）</t>
  </si>
  <si>
    <t xml:space="preserve">当前市值</t>
  </si>
  <si>
    <r>
      <rPr>
        <sz val="11"/>
        <color theme="1"/>
        <rFont val="DejaVu Sans"/>
        <family val="2"/>
      </rPr>
      <t xml:space="preserve">当前价 </t>
    </r>
    <r>
      <rPr>
        <sz val="11"/>
        <color theme="1"/>
        <rFont val="DejaVu Sans"/>
        <family val="2"/>
        <charset val="1"/>
      </rPr>
      <t xml:space="preserve">vs </t>
    </r>
    <r>
      <rPr>
        <sz val="11"/>
        <color theme="1"/>
        <rFont val="DejaVu Sans"/>
        <family val="2"/>
      </rPr>
      <t xml:space="preserve">公允（不含期权）</t>
    </r>
  </si>
  <si>
    <r>
      <rPr>
        <b val="true"/>
        <sz val="11"/>
        <rFont val="DejaVu Sans"/>
        <family val="2"/>
      </rPr>
      <t xml:space="preserve">当前价 </t>
    </r>
    <r>
      <rPr>
        <b val="true"/>
        <sz val="11"/>
        <rFont val="DejaVu Sans"/>
        <family val="2"/>
        <charset val="1"/>
      </rPr>
      <t xml:space="preserve">vs </t>
    </r>
    <r>
      <rPr>
        <b val="true"/>
        <sz val="11"/>
        <rFont val="DejaVu Sans"/>
        <family val="2"/>
      </rPr>
      <t xml:space="preserve">总公允（含期权）</t>
    </r>
  </si>
  <si>
    <r>
      <rPr>
        <b val="true"/>
        <sz val="12"/>
        <color rgb="FF2E7D32"/>
        <rFont val="DejaVu Sans"/>
        <family val="2"/>
      </rPr>
      <t xml:space="preserve">⭐⭐ 单股估值视角（含回购建模 </t>
    </r>
    <r>
      <rPr>
        <b val="true"/>
        <sz val="12"/>
        <color rgb="FF2E7D32"/>
        <rFont val="DejaVu Sans"/>
        <family val="2"/>
        <charset val="1"/>
      </rPr>
      <t xml:space="preserve">+ </t>
    </r>
    <r>
      <rPr>
        <b val="true"/>
        <sz val="12"/>
        <color rgb="FF2E7D32"/>
        <rFont val="DejaVu Sans"/>
        <family val="2"/>
      </rPr>
      <t xml:space="preserve">期权）</t>
    </r>
  </si>
  <si>
    <r>
      <rPr>
        <sz val="11"/>
        <color theme="1"/>
        <rFont val="DejaVu Sans"/>
        <family val="2"/>
      </rPr>
      <t xml:space="preserve">原理：</t>
    </r>
    <r>
      <rPr>
        <sz val="11"/>
        <color theme="1"/>
        <rFont val="DejaVu Sans"/>
        <family val="2"/>
        <charset val="1"/>
      </rPr>
      <t xml:space="preserve">2030 </t>
    </r>
    <r>
      <rPr>
        <sz val="11"/>
        <color theme="1"/>
        <rFont val="DejaVu Sans"/>
        <family val="2"/>
      </rPr>
      <t xml:space="preserve">股本 </t>
    </r>
    <r>
      <rPr>
        <sz val="11"/>
        <color theme="1"/>
        <rFont val="DejaVu Sans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今天股本 </t>
    </r>
    <r>
      <rPr>
        <sz val="11"/>
        <color theme="1"/>
        <rFont val="DejaVu Sans"/>
        <family val="2"/>
        <charset val="1"/>
      </rPr>
      <t xml:space="preserve">× (1 − </t>
    </r>
    <r>
      <rPr>
        <sz val="11"/>
        <color theme="1"/>
        <rFont val="DejaVu Sans"/>
        <family val="2"/>
      </rPr>
      <t xml:space="preserve">回购率</t>
    </r>
    <r>
      <rPr>
        <sz val="11"/>
        <color theme="1"/>
        <rFont val="DejaVu Sans"/>
        <family val="2"/>
        <charset val="1"/>
      </rPr>
      <t xml:space="preserve">)^5</t>
    </r>
    <r>
      <rPr>
        <sz val="11"/>
        <color theme="1"/>
        <rFont val="DejaVu Sans"/>
        <family val="2"/>
      </rPr>
      <t xml:space="preserve">；单股公允 </t>
    </r>
    <r>
      <rPr>
        <sz val="11"/>
        <color theme="1"/>
        <rFont val="DejaVu Sans"/>
        <family val="2"/>
        <charset val="1"/>
      </rPr>
      <t xml:space="preserve">= (</t>
    </r>
    <r>
      <rPr>
        <sz val="11"/>
        <color theme="1"/>
        <rFont val="DejaVu Sans"/>
        <family val="2"/>
      </rPr>
      <t xml:space="preserve">核心 </t>
    </r>
    <r>
      <rPr>
        <sz val="11"/>
        <color theme="1"/>
        <rFont val="DejaVu Sans"/>
        <family val="2"/>
        <charset val="1"/>
      </rPr>
      <t xml:space="preserve">EV + </t>
    </r>
    <r>
      <rPr>
        <sz val="11"/>
        <color theme="1"/>
        <rFont val="DejaVu Sans"/>
        <family val="2"/>
      </rPr>
      <t xml:space="preserve">期权</t>
    </r>
    <r>
      <rPr>
        <sz val="11"/>
        <color theme="1"/>
        <rFont val="DejaVu Sans"/>
        <family val="2"/>
        <charset val="1"/>
      </rPr>
      <t xml:space="preserve">) ÷ 2030 </t>
    </r>
    <r>
      <rPr>
        <sz val="11"/>
        <color theme="1"/>
        <rFont val="DejaVu Sans"/>
        <family val="2"/>
      </rPr>
      <t xml:space="preserve">股本，再折现回今天</t>
    </r>
  </si>
  <si>
    <r>
      <rPr>
        <b val="true"/>
        <sz val="11"/>
        <rFont val="Cambria"/>
        <family val="0"/>
        <charset val="1"/>
      </rPr>
      <t xml:space="preserve">+</t>
    </r>
    <r>
      <rPr>
        <b val="true"/>
        <sz val="11"/>
        <rFont val="DejaVu Sans"/>
        <family val="2"/>
      </rPr>
      <t xml:space="preserve">期权 </t>
    </r>
    <r>
      <rPr>
        <b val="true"/>
        <sz val="11"/>
        <rFont val="Cambria"/>
        <family val="0"/>
        <charset val="1"/>
      </rPr>
      <t xml:space="preserve">($B)</t>
    </r>
  </si>
  <si>
    <r>
      <rPr>
        <b val="true"/>
        <sz val="11"/>
        <rFont val="DejaVu Sans"/>
        <family val="2"/>
      </rPr>
      <t xml:space="preserve">总 </t>
    </r>
    <r>
      <rPr>
        <b val="true"/>
        <sz val="11"/>
        <rFont val="DejaVu Sans"/>
        <family val="2"/>
        <charset val="1"/>
      </rPr>
      <t xml:space="preserve">EV ($B)</t>
    </r>
  </si>
  <si>
    <r>
      <rPr>
        <b val="true"/>
        <sz val="11"/>
        <rFont val="DejaVu Sans"/>
        <family val="2"/>
      </rPr>
      <t xml:space="preserve">今天单股公允 </t>
    </r>
    <r>
      <rPr>
        <b val="true"/>
        <sz val="11"/>
        <rFont val="DejaVu Sans"/>
        <family val="2"/>
        <charset val="1"/>
      </rPr>
      <t xml:space="preserve">($)</t>
    </r>
  </si>
  <si>
    <t xml:space="preserve">加权单股公允（含期权）</t>
  </si>
  <si>
    <t xml:space="preserve">当前股价</t>
  </si>
  <si>
    <r>
      <rPr>
        <b val="true"/>
        <sz val="11"/>
        <rFont val="DejaVu Sans"/>
        <family val="2"/>
      </rPr>
      <t xml:space="preserve">当前价 </t>
    </r>
    <r>
      <rPr>
        <b val="true"/>
        <sz val="11"/>
        <rFont val="DejaVu Sans"/>
        <family val="2"/>
        <charset val="1"/>
      </rPr>
      <t xml:space="preserve">vs </t>
    </r>
    <r>
      <rPr>
        <b val="true"/>
        <sz val="11"/>
        <rFont val="DejaVu Sans"/>
        <family val="2"/>
      </rPr>
      <t xml:space="preserve">加权单股公允（含期权）</t>
    </r>
  </si>
  <si>
    <t xml:space="preserve">价位分析与决策框架</t>
  </si>
  <si>
    <t xml:space="preserve">在不同买入价位下的预期回报 — 帮助判断当前是否为好买点</t>
  </si>
  <si>
    <t xml:space="preserve">一、关键引用值</t>
  </si>
  <si>
    <r>
      <rPr>
        <b val="true"/>
        <sz val="10"/>
        <rFont val="Arial"/>
        <family val="2"/>
        <charset val="1"/>
      </rPr>
      <t xml:space="preserve">Bear </t>
    </r>
    <r>
      <rPr>
        <b val="true"/>
        <sz val="10"/>
        <rFont val="DejaVu Sans"/>
        <family val="2"/>
      </rPr>
      <t xml:space="preserve">公允价值 </t>
    </r>
    <r>
      <rPr>
        <b val="true"/>
        <sz val="10"/>
        <rFont val="Arial"/>
        <family val="2"/>
        <charset val="1"/>
      </rPr>
      <t xml:space="preserve">($B)</t>
    </r>
  </si>
  <si>
    <r>
      <rPr>
        <b val="true"/>
        <sz val="10"/>
        <rFont val="Arial"/>
        <family val="2"/>
        <charset val="1"/>
      </rPr>
      <t xml:space="preserve">Base </t>
    </r>
    <r>
      <rPr>
        <b val="true"/>
        <sz val="10"/>
        <rFont val="DejaVu Sans"/>
        <family val="2"/>
      </rPr>
      <t xml:space="preserve">公允价值 </t>
    </r>
    <r>
      <rPr>
        <b val="true"/>
        <sz val="10"/>
        <rFont val="Arial"/>
        <family val="2"/>
        <charset val="1"/>
      </rPr>
      <t xml:space="preserve">($B)</t>
    </r>
  </si>
  <si>
    <r>
      <rPr>
        <b val="true"/>
        <sz val="10"/>
        <rFont val="Arial"/>
        <family val="2"/>
        <charset val="1"/>
      </rPr>
      <t xml:space="preserve">Bull </t>
    </r>
    <r>
      <rPr>
        <b val="true"/>
        <sz val="10"/>
        <rFont val="DejaVu Sans"/>
        <family val="2"/>
      </rPr>
      <t xml:space="preserve">公允价值 </t>
    </r>
    <r>
      <rPr>
        <b val="true"/>
        <sz val="10"/>
        <rFont val="Arial"/>
        <family val="2"/>
        <charset val="1"/>
      </rPr>
      <t xml:space="preserve">($B)</t>
    </r>
  </si>
  <si>
    <r>
      <rPr>
        <b val="true"/>
        <sz val="10"/>
        <rFont val="DejaVu Sans"/>
        <family val="2"/>
      </rPr>
      <t xml:space="preserve">加权公允价值 </t>
    </r>
    <r>
      <rPr>
        <b val="true"/>
        <sz val="10"/>
        <rFont val="DejaVu Sans"/>
        <family val="2"/>
        <charset val="1"/>
      </rPr>
      <t xml:space="preserve">($B)</t>
    </r>
  </si>
  <si>
    <t xml:space="preserve">折现率</t>
  </si>
  <si>
    <r>
      <rPr>
        <b val="true"/>
        <sz val="11"/>
        <color rgb="FFFFFFFF"/>
        <rFont val="DejaVu Sans"/>
        <family val="2"/>
      </rPr>
      <t xml:space="preserve">二、不同买入价的 </t>
    </r>
    <r>
      <rPr>
        <b val="true"/>
        <sz val="11"/>
        <color rgb="FFFFFFFF"/>
        <rFont val="DejaVu Sans"/>
        <family val="2"/>
        <charset val="1"/>
      </rPr>
      <t xml:space="preserve">4 </t>
    </r>
    <r>
      <rPr>
        <b val="true"/>
        <sz val="11"/>
        <color rgb="FFFFFFFF"/>
        <rFont val="DejaVu Sans"/>
        <family val="2"/>
      </rPr>
      <t xml:space="preserve">年（到 </t>
    </r>
    <r>
      <rPr>
        <b val="true"/>
        <sz val="11"/>
        <color rgb="FFFFFFFF"/>
        <rFont val="DejaVu Sans"/>
        <family val="2"/>
        <charset val="1"/>
      </rPr>
      <t xml:space="preserve">2030</t>
    </r>
    <r>
      <rPr>
        <b val="true"/>
        <sz val="11"/>
        <color rgb="FFFFFFFF"/>
        <rFont val="DejaVu Sans"/>
        <family val="2"/>
      </rPr>
      <t xml:space="preserve">）期望回报</t>
    </r>
  </si>
  <si>
    <r>
      <rPr>
        <i val="true"/>
        <sz val="11"/>
        <color rgb="FF808080"/>
        <rFont val="DejaVu Sans"/>
        <family val="2"/>
      </rPr>
      <t xml:space="preserve">注：年化 </t>
    </r>
    <r>
      <rPr>
        <i val="true"/>
        <sz val="11"/>
        <color rgb="FF808080"/>
        <rFont val="Cambria"/>
        <family val="0"/>
        <charset val="1"/>
      </rPr>
      <t xml:space="preserve">= (2030 EV+</t>
    </r>
    <r>
      <rPr>
        <i val="true"/>
        <sz val="11"/>
        <color rgb="FF808080"/>
        <rFont val="DejaVu Sans"/>
        <family val="2"/>
      </rPr>
      <t xml:space="preserve">期权</t>
    </r>
    <r>
      <rPr>
        <i val="true"/>
        <sz val="11"/>
        <color rgb="FF808080"/>
        <rFont val="Cambria"/>
        <family val="0"/>
        <charset val="1"/>
      </rPr>
      <t xml:space="preserve">)/</t>
    </r>
    <r>
      <rPr>
        <i val="true"/>
        <sz val="11"/>
        <color rgb="FF808080"/>
        <rFont val="DejaVu Sans"/>
        <family val="2"/>
      </rPr>
      <t xml:space="preserve">今天买入市值</t>
    </r>
    <r>
      <rPr>
        <i val="true"/>
        <sz val="11"/>
        <color rgb="FF808080"/>
        <rFont val="Cambria"/>
        <family val="0"/>
        <charset val="1"/>
      </rPr>
      <t xml:space="preserve">)^(1/4) − 1</t>
    </r>
    <r>
      <rPr>
        <i val="true"/>
        <sz val="11"/>
        <color rgb="FF808080"/>
        <rFont val="DejaVu Sans"/>
        <family val="2"/>
      </rPr>
      <t xml:space="preserve">，即从今天到 </t>
    </r>
    <r>
      <rPr>
        <i val="true"/>
        <sz val="11"/>
        <color rgb="FF808080"/>
        <rFont val="Cambria"/>
        <family val="0"/>
        <charset val="1"/>
      </rPr>
      <t xml:space="preserve">2030 </t>
    </r>
    <r>
      <rPr>
        <i val="true"/>
        <sz val="11"/>
        <color rgb="FF808080"/>
        <rFont val="DejaVu Sans"/>
        <family val="2"/>
      </rPr>
      <t xml:space="preserve">的 </t>
    </r>
    <r>
      <rPr>
        <i val="true"/>
        <sz val="11"/>
        <color rgb="FF808080"/>
        <rFont val="Cambria"/>
        <family val="0"/>
        <charset val="1"/>
      </rPr>
      <t xml:space="preserve">CAGR</t>
    </r>
    <r>
      <rPr>
        <i val="true"/>
        <sz val="11"/>
        <color rgb="FF808080"/>
        <rFont val="DejaVu Sans"/>
        <family val="2"/>
      </rPr>
      <t xml:space="preserve">；公允买入对应折现率 </t>
    </r>
    <r>
      <rPr>
        <i val="true"/>
        <sz val="11"/>
        <color rgb="FF808080"/>
        <rFont val="Cambria"/>
        <family val="0"/>
        <charset val="1"/>
      </rPr>
      <t xml:space="preserve">10%</t>
    </r>
  </si>
  <si>
    <r>
      <rPr>
        <b val="true"/>
        <sz val="10"/>
        <rFont val="DejaVu Sans"/>
        <family val="2"/>
      </rPr>
      <t xml:space="preserve">买入价 </t>
    </r>
    <r>
      <rPr>
        <b val="true"/>
        <sz val="10"/>
        <rFont val="DejaVu Sans"/>
        <family val="2"/>
        <charset val="1"/>
      </rPr>
      <t xml:space="preserve">($B)</t>
    </r>
  </si>
  <si>
    <r>
      <rPr>
        <b val="true"/>
        <sz val="10"/>
        <rFont val="Arial"/>
        <family val="2"/>
        <charset val="1"/>
      </rPr>
      <t xml:space="preserve">vs </t>
    </r>
    <r>
      <rPr>
        <b val="true"/>
        <sz val="10"/>
        <rFont val="DejaVu Sans"/>
        <family val="2"/>
      </rPr>
      <t xml:space="preserve">当前 </t>
    </r>
    <r>
      <rPr>
        <b val="true"/>
        <sz val="10"/>
        <rFont val="Arial"/>
        <family val="2"/>
        <charset val="1"/>
      </rPr>
      <t xml:space="preserve">(%)</t>
    </r>
  </si>
  <si>
    <r>
      <rPr>
        <b val="true"/>
        <sz val="10"/>
        <rFont val="Arial"/>
        <family val="2"/>
        <charset val="1"/>
      </rPr>
      <t xml:space="preserve">Bear </t>
    </r>
    <r>
      <rPr>
        <b val="true"/>
        <sz val="10"/>
        <rFont val="DejaVu Sans"/>
        <family val="2"/>
      </rPr>
      <t xml:space="preserve">年化</t>
    </r>
  </si>
  <si>
    <r>
      <rPr>
        <b val="true"/>
        <sz val="10"/>
        <rFont val="Arial"/>
        <family val="2"/>
        <charset val="1"/>
      </rPr>
      <t xml:space="preserve">Base </t>
    </r>
    <r>
      <rPr>
        <b val="true"/>
        <sz val="10"/>
        <rFont val="DejaVu Sans"/>
        <family val="2"/>
      </rPr>
      <t xml:space="preserve">年化</t>
    </r>
  </si>
  <si>
    <r>
      <rPr>
        <b val="true"/>
        <sz val="10"/>
        <rFont val="Arial"/>
        <family val="2"/>
        <charset val="1"/>
      </rPr>
      <t xml:space="preserve">Bull </t>
    </r>
    <r>
      <rPr>
        <b val="true"/>
        <sz val="10"/>
        <rFont val="DejaVu Sans"/>
        <family val="2"/>
      </rPr>
      <t xml:space="preserve">年化</t>
    </r>
  </si>
  <si>
    <t xml:space="preserve">加权年化</t>
  </si>
  <si>
    <t xml:space="preserve">解读</t>
  </si>
  <si>
    <r>
      <rPr>
        <sz val="10"/>
        <rFont val="Arial"/>
        <family val="2"/>
        <charset val="1"/>
      </rPr>
      <t xml:space="preserve">-30% </t>
    </r>
    <r>
      <rPr>
        <sz val="10"/>
        <rFont val="DejaVu Sans"/>
        <family val="2"/>
      </rPr>
      <t xml:space="preserve">大幅下跌</t>
    </r>
  </si>
  <si>
    <r>
      <rPr>
        <sz val="10"/>
        <rFont val="Arial"/>
        <family val="2"/>
        <charset val="1"/>
      </rPr>
      <t xml:space="preserve">-15% </t>
    </r>
    <r>
      <rPr>
        <sz val="10"/>
        <rFont val="DejaVu Sans"/>
        <family val="2"/>
      </rPr>
      <t xml:space="preserve">中度下跌</t>
    </r>
  </si>
  <si>
    <t xml:space="preserve">当前价</t>
  </si>
  <si>
    <r>
      <rPr>
        <sz val="10"/>
        <rFont val="Arial"/>
        <family val="2"/>
        <charset val="1"/>
      </rPr>
      <t xml:space="preserve">+15% </t>
    </r>
    <r>
      <rPr>
        <sz val="10"/>
        <rFont val="DejaVu Sans"/>
        <family val="2"/>
      </rPr>
      <t xml:space="preserve">上涨</t>
    </r>
  </si>
  <si>
    <r>
      <rPr>
        <sz val="10"/>
        <rFont val="Arial"/>
        <family val="2"/>
        <charset val="1"/>
      </rPr>
      <t xml:space="preserve">+30% </t>
    </r>
    <r>
      <rPr>
        <sz val="10"/>
        <rFont val="DejaVu Sans"/>
        <family val="2"/>
      </rPr>
      <t xml:space="preserve">大涨</t>
    </r>
  </si>
  <si>
    <r>
      <rPr>
        <sz val="10"/>
        <rFont val="Arial"/>
        <family val="2"/>
        <charset val="1"/>
      </rPr>
      <t xml:space="preserve">+50% </t>
    </r>
    <r>
      <rPr>
        <sz val="10"/>
        <rFont val="DejaVu Sans"/>
        <family val="2"/>
      </rPr>
      <t xml:space="preserve">大涨</t>
    </r>
  </si>
  <si>
    <t xml:space="preserve">三、决策框架</t>
  </si>
  <si>
    <t xml:space="preserve">当前价位定位</t>
  </si>
  <si>
    <t xml:space="preserve">隐含情景</t>
  </si>
  <si>
    <r>
      <rPr>
        <b val="true"/>
        <sz val="10"/>
        <rFont val="DejaVu Sans"/>
        <family val="2"/>
      </rPr>
      <t xml:space="preserve">当前价 </t>
    </r>
    <r>
      <rPr>
        <b val="true"/>
        <sz val="10"/>
        <rFont val="DejaVu Sans"/>
        <family val="2"/>
        <charset val="1"/>
      </rPr>
      <t xml:space="preserve">vs Bear </t>
    </r>
    <r>
      <rPr>
        <b val="true"/>
        <sz val="10"/>
        <rFont val="DejaVu Sans"/>
        <family val="2"/>
      </rPr>
      <t xml:space="preserve">公允</t>
    </r>
  </si>
  <si>
    <r>
      <rPr>
        <b val="true"/>
        <sz val="10"/>
        <rFont val="DejaVu Sans"/>
        <family val="2"/>
      </rPr>
      <t xml:space="preserve">当前价 </t>
    </r>
    <r>
      <rPr>
        <b val="true"/>
        <sz val="10"/>
        <rFont val="DejaVu Sans"/>
        <family val="2"/>
        <charset val="1"/>
      </rPr>
      <t xml:space="preserve">vs Base </t>
    </r>
    <r>
      <rPr>
        <b val="true"/>
        <sz val="10"/>
        <rFont val="DejaVu Sans"/>
        <family val="2"/>
      </rPr>
      <t xml:space="preserve">公允</t>
    </r>
  </si>
  <si>
    <r>
      <rPr>
        <b val="true"/>
        <sz val="10"/>
        <rFont val="DejaVu Sans"/>
        <family val="2"/>
      </rPr>
      <t xml:space="preserve">当前价 </t>
    </r>
    <r>
      <rPr>
        <b val="true"/>
        <sz val="10"/>
        <rFont val="DejaVu Sans"/>
        <family val="2"/>
        <charset val="1"/>
      </rPr>
      <t xml:space="preserve">vs Bull </t>
    </r>
    <r>
      <rPr>
        <b val="true"/>
        <sz val="10"/>
        <rFont val="DejaVu Sans"/>
        <family val="2"/>
      </rPr>
      <t xml:space="preserve">公允</t>
    </r>
  </si>
  <si>
    <r>
      <rPr>
        <b val="true"/>
        <sz val="10"/>
        <rFont val="DejaVu Sans"/>
        <family val="2"/>
      </rPr>
      <t xml:space="preserve">当前价 </t>
    </r>
    <r>
      <rPr>
        <b val="true"/>
        <sz val="10"/>
        <rFont val="DejaVu Sans"/>
        <family val="2"/>
        <charset val="1"/>
      </rPr>
      <t xml:space="preserve">vs </t>
    </r>
    <r>
      <rPr>
        <b val="true"/>
        <sz val="10"/>
        <rFont val="DejaVu Sans"/>
        <family val="2"/>
      </rPr>
      <t xml:space="preserve">加权公允</t>
    </r>
  </si>
  <si>
    <t xml:space="preserve">决策矩阵</t>
  </si>
  <si>
    <t xml:space="preserve">决策建议</t>
  </si>
  <si>
    <t xml:space="preserve">理由</t>
  </si>
  <si>
    <t xml:space="preserve">&lt; -20%</t>
  </si>
  <si>
    <t xml:space="preserve">⭐ 买入信号</t>
  </si>
  <si>
    <r>
      <rPr>
        <sz val="10"/>
        <rFont val="DejaVu Sans"/>
        <family val="2"/>
      </rPr>
      <t xml:space="preserve">估值显著低估</t>
    </r>
    <r>
      <rPr>
        <sz val="10"/>
        <rFont val="DejaVu Sans"/>
        <family val="2"/>
        <charset val="1"/>
      </rPr>
      <t xml:space="preserve">; </t>
    </r>
    <r>
      <rPr>
        <sz val="10"/>
        <rFont val="DejaVu Sans"/>
        <family val="2"/>
      </rPr>
      <t xml:space="preserve">加权年化回报 </t>
    </r>
    <r>
      <rPr>
        <sz val="10"/>
        <rFont val="DejaVu Sans"/>
        <family val="2"/>
        <charset val="1"/>
      </rPr>
      <t xml:space="preserve">&gt; </t>
    </r>
    <r>
      <rPr>
        <sz val="10"/>
        <rFont val="DejaVu Sans"/>
        <family val="2"/>
      </rPr>
      <t xml:space="preserve">折现率</t>
    </r>
  </si>
  <si>
    <r>
      <rPr>
        <sz val="10"/>
        <rFont val="Arial"/>
        <family val="2"/>
        <charset val="1"/>
      </rPr>
      <t xml:space="preserve">-20% </t>
    </r>
    <r>
      <rPr>
        <sz val="10"/>
        <rFont val="DejaVu Sans"/>
        <family val="2"/>
      </rPr>
      <t xml:space="preserve">至 </t>
    </r>
    <r>
      <rPr>
        <sz val="10"/>
        <rFont val="Arial"/>
        <family val="2"/>
        <charset val="1"/>
      </rPr>
      <t xml:space="preserve">-5%</t>
    </r>
  </si>
  <si>
    <t xml:space="preserve">✅ 合理买点</t>
  </si>
  <si>
    <r>
      <rPr>
        <sz val="10"/>
        <rFont val="DejaVu Sans"/>
        <family val="2"/>
      </rPr>
      <t xml:space="preserve">小幅低估</t>
    </r>
    <r>
      <rPr>
        <sz val="10"/>
        <rFont val="DejaVu Sans"/>
        <family val="2"/>
        <charset val="1"/>
      </rPr>
      <t xml:space="preserve">; </t>
    </r>
    <r>
      <rPr>
        <sz val="10"/>
        <rFont val="DejaVu Sans"/>
        <family val="2"/>
      </rPr>
      <t xml:space="preserve">期望回报接近或略高于折现率</t>
    </r>
  </si>
  <si>
    <r>
      <rPr>
        <sz val="10"/>
        <rFont val="Arial"/>
        <family val="2"/>
        <charset val="1"/>
      </rPr>
      <t xml:space="preserve">-5% </t>
    </r>
    <r>
      <rPr>
        <sz val="10"/>
        <rFont val="DejaVu Sans"/>
        <family val="2"/>
      </rPr>
      <t xml:space="preserve">至 </t>
    </r>
    <r>
      <rPr>
        <sz val="10"/>
        <rFont val="Arial"/>
        <family val="2"/>
        <charset val="1"/>
      </rPr>
      <t xml:space="preserve">+5%</t>
    </r>
  </si>
  <si>
    <t xml:space="preserve">➖ 中性持有</t>
  </si>
  <si>
    <r>
      <rPr>
        <sz val="10"/>
        <rFont val="DejaVu Sans"/>
        <family val="2"/>
      </rPr>
      <t xml:space="preserve">基本 </t>
    </r>
    <r>
      <rPr>
        <sz val="10"/>
        <rFont val="DejaVu Sans"/>
        <family val="2"/>
        <charset val="1"/>
      </rPr>
      <t xml:space="preserve">fair; </t>
    </r>
    <r>
      <rPr>
        <sz val="10"/>
        <rFont val="DejaVu Sans"/>
        <family val="2"/>
      </rPr>
      <t xml:space="preserve">期望回报 ≈ 折现率 </t>
    </r>
    <r>
      <rPr>
        <sz val="10"/>
        <rFont val="DejaVu Sans"/>
        <family val="2"/>
        <charset val="1"/>
      </rPr>
      <t xml:space="preserve">(10%)</t>
    </r>
  </si>
  <si>
    <r>
      <rPr>
        <sz val="10"/>
        <rFont val="Arial"/>
        <family val="2"/>
        <charset val="1"/>
      </rPr>
      <t xml:space="preserve">+5% </t>
    </r>
    <r>
      <rPr>
        <sz val="10"/>
        <rFont val="DejaVu Sans"/>
        <family val="2"/>
      </rPr>
      <t xml:space="preserve">至 </t>
    </r>
    <r>
      <rPr>
        <sz val="10"/>
        <rFont val="Arial"/>
        <family val="2"/>
        <charset val="1"/>
      </rPr>
      <t xml:space="preserve">+20%</t>
    </r>
  </si>
  <si>
    <t xml:space="preserve">⚠️ 警惕</t>
  </si>
  <si>
    <r>
      <rPr>
        <sz val="10"/>
        <rFont val="DejaVu Sans"/>
        <family val="2"/>
      </rPr>
      <t xml:space="preserve">已部分透支 </t>
    </r>
    <r>
      <rPr>
        <sz val="10"/>
        <rFont val="DejaVu Sans"/>
        <family val="2"/>
        <charset val="1"/>
      </rPr>
      <t xml:space="preserve">Bull case; </t>
    </r>
    <r>
      <rPr>
        <sz val="10"/>
        <rFont val="DejaVu Sans"/>
        <family val="2"/>
      </rPr>
      <t xml:space="preserve">期望回报压缩</t>
    </r>
  </si>
  <si>
    <t xml:space="preserve">&gt; +20%</t>
  </si>
  <si>
    <t xml:space="preserve">❌ 避免买入</t>
  </si>
  <si>
    <r>
      <rPr>
        <sz val="10"/>
        <rFont val="DejaVu Sans"/>
        <family val="2"/>
      </rPr>
      <t xml:space="preserve">估值显著透支</t>
    </r>
    <r>
      <rPr>
        <sz val="10"/>
        <rFont val="DejaVu Sans"/>
        <family val="2"/>
        <charset val="1"/>
      </rPr>
      <t xml:space="preserve">; </t>
    </r>
    <r>
      <rPr>
        <sz val="10"/>
        <rFont val="DejaVu Sans"/>
        <family val="2"/>
      </rPr>
      <t xml:space="preserve">期望回报远低于折现率</t>
    </r>
  </si>
  <si>
    <t xml:space="preserve">⭐ 基于当前数据的决策</t>
  </si>
  <si>
    <t xml:space="preserve">四、单股视角（含回购建模）</t>
  </si>
  <si>
    <r>
      <rPr>
        <sz val="11"/>
        <color theme="1"/>
        <rFont val="Calibri"/>
        <family val="2"/>
        <charset val="1"/>
      </rPr>
      <t xml:space="preserve">Bear </t>
    </r>
    <r>
      <rPr>
        <sz val="11"/>
        <color theme="1"/>
        <rFont val="DejaVu Sans"/>
        <family val="2"/>
      </rPr>
      <t xml:space="preserve">今天单股公允 </t>
    </r>
    <r>
      <rPr>
        <sz val="11"/>
        <color theme="1"/>
        <rFont val="Calibri"/>
        <family val="2"/>
        <charset val="1"/>
      </rPr>
      <t xml:space="preserve">($)</t>
    </r>
  </si>
  <si>
    <r>
      <rPr>
        <sz val="11"/>
        <color theme="1"/>
        <rFont val="Calibri"/>
        <family val="2"/>
        <charset val="1"/>
      </rPr>
      <t xml:space="preserve">Base </t>
    </r>
    <r>
      <rPr>
        <sz val="11"/>
        <color theme="1"/>
        <rFont val="DejaVu Sans"/>
        <family val="2"/>
      </rPr>
      <t xml:space="preserve">今天单股公允 </t>
    </r>
    <r>
      <rPr>
        <sz val="11"/>
        <color theme="1"/>
        <rFont val="Calibri"/>
        <family val="2"/>
        <charset val="1"/>
      </rPr>
      <t xml:space="preserve">($)</t>
    </r>
  </si>
  <si>
    <r>
      <rPr>
        <sz val="11"/>
        <color theme="1"/>
        <rFont val="Calibri"/>
        <family val="2"/>
        <charset val="1"/>
      </rPr>
      <t xml:space="preserve">Bull </t>
    </r>
    <r>
      <rPr>
        <sz val="11"/>
        <color theme="1"/>
        <rFont val="DejaVu Sans"/>
        <family val="2"/>
      </rPr>
      <t xml:space="preserve">今天单股公允 </t>
    </r>
    <r>
      <rPr>
        <sz val="11"/>
        <color theme="1"/>
        <rFont val="Calibri"/>
        <family val="2"/>
        <charset val="1"/>
      </rPr>
      <t xml:space="preserve">($)</t>
    </r>
  </si>
  <si>
    <r>
      <rPr>
        <b val="true"/>
        <sz val="11"/>
        <rFont val="DejaVu Sans"/>
        <family val="2"/>
      </rPr>
      <t xml:space="preserve">加权单股公允 </t>
    </r>
    <r>
      <rPr>
        <b val="true"/>
        <sz val="11"/>
        <rFont val="DejaVu Sans"/>
        <family val="2"/>
        <charset val="1"/>
      </rPr>
      <t xml:space="preserve">($)</t>
    </r>
  </si>
  <si>
    <r>
      <rPr>
        <sz val="11"/>
        <color theme="1"/>
        <rFont val="DejaVu Sans"/>
        <family val="2"/>
      </rPr>
      <t xml:space="preserve">当前股价 </t>
    </r>
    <r>
      <rPr>
        <sz val="11"/>
        <color theme="1"/>
        <rFont val="DejaVu Sans"/>
        <family val="2"/>
        <charset val="1"/>
      </rPr>
      <t xml:space="preserve">($)</t>
    </r>
  </si>
  <si>
    <r>
      <rPr>
        <b val="true"/>
        <sz val="11"/>
        <rFont val="DejaVu Sans"/>
        <family val="2"/>
      </rPr>
      <t xml:space="preserve">当前价 </t>
    </r>
    <r>
      <rPr>
        <b val="true"/>
        <sz val="11"/>
        <rFont val="DejaVu Sans"/>
        <family val="2"/>
        <charset val="1"/>
      </rPr>
      <t xml:space="preserve">vs </t>
    </r>
    <r>
      <rPr>
        <b val="true"/>
        <sz val="11"/>
        <rFont val="DejaVu Sans"/>
        <family val="2"/>
      </rPr>
      <t xml:space="preserve">加权单股公允</t>
    </r>
  </si>
  <si>
    <t xml:space="preserve">【两视角对比】</t>
  </si>
  <si>
    <r>
      <rPr>
        <sz val="11"/>
        <color theme="1"/>
        <rFont val="DejaVu Sans"/>
        <family val="2"/>
      </rPr>
      <t xml:space="preserve">市值视角偏离 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无回购</t>
    </r>
    <r>
      <rPr>
        <sz val="11"/>
        <color theme="1"/>
        <rFont val="DejaVu Sans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</si>
  <si>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单股视角偏离 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含回购</t>
    </r>
    <r>
      <rPr>
        <sz val="11"/>
        <color theme="1"/>
        <rFont val="DejaVu Sans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</si>
  <si>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回购贡献的修正 </t>
    </r>
    <r>
      <rPr>
        <sz val="11"/>
        <color theme="1"/>
        <rFont val="DejaVu Sans"/>
        <family val="2"/>
        <charset val="1"/>
      </rPr>
      <t xml:space="preserve">(pp)</t>
    </r>
  </si>
  <si>
    <r>
      <rPr>
        <b val="true"/>
        <sz val="14"/>
        <rFont val="DejaVu Sans"/>
        <family val="2"/>
      </rPr>
      <t xml:space="preserve">季度跟踪 </t>
    </r>
    <r>
      <rPr>
        <b val="true"/>
        <sz val="14"/>
        <rFont val="DejaVu Sans"/>
        <family val="2"/>
        <charset val="1"/>
      </rPr>
      <t xml:space="preserve">· </t>
    </r>
    <r>
      <rPr>
        <b val="true"/>
        <sz val="14"/>
        <rFont val="DejaVu Sans"/>
        <family val="2"/>
      </rPr>
      <t xml:space="preserve">实际 </t>
    </r>
    <r>
      <rPr>
        <b val="true"/>
        <sz val="14"/>
        <rFont val="DejaVu Sans"/>
        <family val="2"/>
        <charset val="1"/>
      </rPr>
      <t xml:space="preserve">vs </t>
    </r>
    <r>
      <rPr>
        <b val="true"/>
        <sz val="14"/>
        <rFont val="DejaVu Sans"/>
        <family val="2"/>
      </rPr>
      <t xml:space="preserve">预测</t>
    </r>
  </si>
  <si>
    <r>
      <rPr>
        <i val="true"/>
        <sz val="9"/>
        <color rgb="FF666666"/>
        <rFont val="DejaVu Sans"/>
        <family val="2"/>
      </rPr>
      <t xml:space="preserve">每季度财报后填入实际营收</t>
    </r>
    <r>
      <rPr>
        <i val="true"/>
        <sz val="9"/>
        <color rgb="FF666666"/>
        <rFont val="DejaVu Sans"/>
        <family val="2"/>
        <charset val="1"/>
      </rPr>
      <t xml:space="preserve">, </t>
    </r>
    <r>
      <rPr>
        <i val="true"/>
        <sz val="9"/>
        <color rgb="FF666666"/>
        <rFont val="DejaVu Sans"/>
        <family val="2"/>
      </rPr>
      <t xml:space="preserve">验证假设是否仍 </t>
    </r>
    <r>
      <rPr>
        <i val="true"/>
        <sz val="9"/>
        <color rgb="FF666666"/>
        <rFont val="DejaVu Sans"/>
        <family val="2"/>
        <charset val="1"/>
      </rPr>
      <t xml:space="preserve">valid</t>
    </r>
  </si>
  <si>
    <t xml:space="preserve">财报季度</t>
  </si>
  <si>
    <t xml:space="preserve">Search</t>
  </si>
  <si>
    <t xml:space="preserve">YouTube</t>
  </si>
  <si>
    <t xml:space="preserve">Cloud</t>
  </si>
  <si>
    <t xml:space="preserve">Workspace</t>
  </si>
  <si>
    <t xml:space="preserve">Pixel/Android</t>
  </si>
  <si>
    <t xml:space="preserve">总营收</t>
  </si>
  <si>
    <t xml:space="preserve">备注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</si>
  <si>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</si>
  <si>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</si>
  <si>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</si>
  <si>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</si>
  <si>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</si>
  <si>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</si>
  <si>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</si>
  <si>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</si>
  <si>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</si>
  <si>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</si>
  <si>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</si>
  <si>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</si>
  <si>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关键事件日志</t>
  </si>
  <si>
    <t xml:space="preserve">事件类型</t>
  </si>
  <si>
    <t xml:space="preserve">描述</t>
  </si>
  <si>
    <t xml:space="preserve">影响（业务）</t>
  </si>
  <si>
    <t xml:space="preserve">需要调整假设？</t>
  </si>
  <si>
    <t xml:space="preserve">每季度财报后的检查清单</t>
  </si>
  <si>
    <r>
      <rPr>
        <i val="true"/>
        <sz val="9"/>
        <color rgb="FF666666"/>
        <rFont val="Arial"/>
        <family val="2"/>
        <charset val="1"/>
      </rPr>
      <t xml:space="preserve">□ 1. </t>
    </r>
    <r>
      <rPr>
        <i val="true"/>
        <sz val="9"/>
        <color rgb="FF666666"/>
        <rFont val="DejaVu Sans"/>
        <family val="2"/>
      </rPr>
      <t xml:space="preserve">在 </t>
    </r>
    <r>
      <rPr>
        <i val="true"/>
        <sz val="9"/>
        <color rgb="FF666666"/>
        <rFont val="Arial"/>
        <family val="2"/>
        <charset val="1"/>
      </rPr>
      <t xml:space="preserve">Sheet 5 </t>
    </r>
    <r>
      <rPr>
        <i val="true"/>
        <sz val="9"/>
        <color rgb="FF666666"/>
        <rFont val="DejaVu Sans"/>
        <family val="2"/>
      </rPr>
      <t xml:space="preserve">上方表格填入新季度营收</t>
    </r>
  </si>
  <si>
    <r>
      <rPr>
        <i val="true"/>
        <sz val="9"/>
        <color rgb="FF666666"/>
        <rFont val="Arial"/>
        <family val="2"/>
        <charset val="1"/>
      </rPr>
      <t xml:space="preserve">□ 2. </t>
    </r>
    <r>
      <rPr>
        <i val="true"/>
        <sz val="9"/>
        <color rgb="FF666666"/>
        <rFont val="DejaVu Sans"/>
        <family val="2"/>
      </rPr>
      <t xml:space="preserve">计算 </t>
    </r>
    <r>
      <rPr>
        <i val="true"/>
        <sz val="9"/>
        <color rgb="FF666666"/>
        <rFont val="Arial"/>
        <family val="2"/>
        <charset val="1"/>
      </rPr>
      <t xml:space="preserve">TTM (</t>
    </r>
    <r>
      <rPr>
        <i val="true"/>
        <sz val="9"/>
        <color rgb="FF666666"/>
        <rFont val="DejaVu Sans"/>
        <family val="2"/>
      </rPr>
      <t xml:space="preserve">滚动 </t>
    </r>
    <r>
      <rPr>
        <i val="true"/>
        <sz val="9"/>
        <color rgb="FF666666"/>
        <rFont val="Arial"/>
        <family val="2"/>
        <charset val="1"/>
      </rPr>
      <t xml:space="preserve">4 </t>
    </r>
    <r>
      <rPr>
        <i val="true"/>
        <sz val="9"/>
        <color rgb="FF666666"/>
        <rFont val="DejaVu Sans"/>
        <family val="2"/>
      </rPr>
      <t xml:space="preserve">季度</t>
    </r>
    <r>
      <rPr>
        <i val="true"/>
        <sz val="9"/>
        <color rgb="FF666666"/>
        <rFont val="Arial"/>
        <family val="2"/>
        <charset val="1"/>
      </rPr>
      <t xml:space="preserve">) </t>
    </r>
    <r>
      <rPr>
        <i val="true"/>
        <sz val="9"/>
        <color rgb="FF666666"/>
        <rFont val="DejaVu Sans"/>
        <family val="2"/>
      </rPr>
      <t xml:space="preserve">营收</t>
    </r>
  </si>
  <si>
    <r>
      <rPr>
        <i val="true"/>
        <sz val="9"/>
        <color rgb="FF666666"/>
        <rFont val="Arial"/>
        <family val="2"/>
        <charset val="1"/>
      </rPr>
      <t xml:space="preserve">□ 3. </t>
    </r>
    <r>
      <rPr>
        <i val="true"/>
        <sz val="9"/>
        <color rgb="FF666666"/>
        <rFont val="DejaVu Sans"/>
        <family val="2"/>
      </rPr>
      <t xml:space="preserve">与 </t>
    </r>
    <r>
      <rPr>
        <i val="true"/>
        <sz val="9"/>
        <color rgb="FF666666"/>
        <rFont val="Arial"/>
        <family val="2"/>
        <charset val="1"/>
      </rPr>
      <t xml:space="preserve">Sheet 1 </t>
    </r>
    <r>
      <rPr>
        <i val="true"/>
        <sz val="9"/>
        <color rgb="FF666666"/>
        <rFont val="DejaVu Sans"/>
        <family val="2"/>
      </rPr>
      <t xml:space="preserve">的 </t>
    </r>
    <r>
      <rPr>
        <i val="true"/>
        <sz val="9"/>
        <color rgb="FF666666"/>
        <rFont val="Arial"/>
        <family val="2"/>
        <charset val="1"/>
      </rPr>
      <t xml:space="preserve">2025 </t>
    </r>
    <r>
      <rPr>
        <i val="true"/>
        <sz val="9"/>
        <color rgb="FF666666"/>
        <rFont val="DejaVu Sans"/>
        <family val="2"/>
      </rPr>
      <t xml:space="preserve">基线对比 — 如果偏离 </t>
    </r>
    <r>
      <rPr>
        <i val="true"/>
        <sz val="9"/>
        <color rgb="FF666666"/>
        <rFont val="Arial"/>
        <family val="2"/>
        <charset val="1"/>
      </rPr>
      <t xml:space="preserve">&gt; 5%, </t>
    </r>
    <r>
      <rPr>
        <i val="true"/>
        <sz val="9"/>
        <color rgb="FF666666"/>
        <rFont val="DejaVu Sans"/>
        <family val="2"/>
      </rPr>
      <t xml:space="preserve">更新 </t>
    </r>
    <r>
      <rPr>
        <i val="true"/>
        <sz val="9"/>
        <color rgb="FF666666"/>
        <rFont val="Arial"/>
        <family val="2"/>
        <charset val="1"/>
      </rPr>
      <t xml:space="preserve">Sheet 1</t>
    </r>
  </si>
  <si>
    <r>
      <rPr>
        <i val="true"/>
        <sz val="9"/>
        <color rgb="FF666666"/>
        <rFont val="Arial"/>
        <family val="2"/>
        <charset val="1"/>
      </rPr>
      <t xml:space="preserve">□ 4. </t>
    </r>
    <r>
      <rPr>
        <i val="true"/>
        <sz val="9"/>
        <color rgb="FF666666"/>
        <rFont val="DejaVu Sans"/>
        <family val="2"/>
      </rPr>
      <t xml:space="preserve">如果重大事件 </t>
    </r>
    <r>
      <rPr>
        <i val="true"/>
        <sz val="9"/>
        <color rgb="FF666666"/>
        <rFont val="Arial"/>
        <family val="2"/>
        <charset val="1"/>
      </rPr>
      <t xml:space="preserve">(DOJ </t>
    </r>
    <r>
      <rPr>
        <i val="true"/>
        <sz val="9"/>
        <color rgb="FF666666"/>
        <rFont val="DejaVu Sans"/>
        <family val="2"/>
      </rPr>
      <t xml:space="preserve">裁决、大额收购、</t>
    </r>
    <r>
      <rPr>
        <i val="true"/>
        <sz val="9"/>
        <color rgb="FF666666"/>
        <rFont val="Arial"/>
        <family val="2"/>
        <charset val="1"/>
      </rPr>
      <t xml:space="preserve">Capex </t>
    </r>
    <r>
      <rPr>
        <i val="true"/>
        <sz val="9"/>
        <color rgb="FF666666"/>
        <rFont val="DejaVu Sans"/>
        <family val="2"/>
      </rPr>
      <t xml:space="preserve">削减</t>
    </r>
    <r>
      <rPr>
        <i val="true"/>
        <sz val="9"/>
        <color rgb="FF666666"/>
        <rFont val="Arial"/>
        <family val="2"/>
        <charset val="1"/>
      </rPr>
      <t xml:space="preserve">), </t>
    </r>
    <r>
      <rPr>
        <i val="true"/>
        <sz val="9"/>
        <color rgb="FF666666"/>
        <rFont val="DejaVu Sans"/>
        <family val="2"/>
      </rPr>
      <t xml:space="preserve">在事件日志记录</t>
    </r>
  </si>
  <si>
    <r>
      <rPr>
        <i val="true"/>
        <sz val="9"/>
        <color rgb="FF666666"/>
        <rFont val="Arial"/>
        <family val="2"/>
        <charset val="1"/>
      </rPr>
      <t xml:space="preserve">□ 5. </t>
    </r>
    <r>
      <rPr>
        <i val="true"/>
        <sz val="9"/>
        <color rgb="FF666666"/>
        <rFont val="DejaVu Sans"/>
        <family val="2"/>
      </rPr>
      <t xml:space="preserve">如果增长率显著偏离假设</t>
    </r>
    <r>
      <rPr>
        <i val="true"/>
        <sz val="9"/>
        <color rgb="FF666666"/>
        <rFont val="Arial"/>
        <family val="2"/>
        <charset val="1"/>
      </rPr>
      <t xml:space="preserve">, </t>
    </r>
    <r>
      <rPr>
        <i val="true"/>
        <sz val="9"/>
        <color rgb="FF666666"/>
        <rFont val="DejaVu Sans"/>
        <family val="2"/>
      </rPr>
      <t xml:space="preserve">调整 </t>
    </r>
    <r>
      <rPr>
        <i val="true"/>
        <sz val="9"/>
        <color rgb="FF666666"/>
        <rFont val="Arial"/>
        <family val="2"/>
        <charset val="1"/>
      </rPr>
      <t xml:space="preserve">Sheet 1 </t>
    </r>
    <r>
      <rPr>
        <i val="true"/>
        <sz val="9"/>
        <color rgb="FF666666"/>
        <rFont val="DejaVu Sans"/>
        <family val="2"/>
      </rPr>
      <t xml:space="preserve">的 </t>
    </r>
    <r>
      <rPr>
        <i val="true"/>
        <sz val="9"/>
        <color rgb="FF666666"/>
        <rFont val="Arial"/>
        <family val="2"/>
        <charset val="1"/>
      </rPr>
      <t xml:space="preserve">CAGR</t>
    </r>
  </si>
  <si>
    <r>
      <rPr>
        <i val="true"/>
        <sz val="9"/>
        <color rgb="FF666666"/>
        <rFont val="Arial"/>
        <family val="2"/>
        <charset val="1"/>
      </rPr>
      <t xml:space="preserve">□ 6. </t>
    </r>
    <r>
      <rPr>
        <i val="true"/>
        <sz val="9"/>
        <color rgb="FF666666"/>
        <rFont val="DejaVu Sans"/>
        <family val="2"/>
      </rPr>
      <t xml:space="preserve">如果反垄断风险加剧</t>
    </r>
    <r>
      <rPr>
        <i val="true"/>
        <sz val="9"/>
        <color rgb="FF666666"/>
        <rFont val="Arial"/>
        <family val="2"/>
        <charset val="1"/>
      </rPr>
      <t xml:space="preserve">, </t>
    </r>
    <r>
      <rPr>
        <i val="true"/>
        <sz val="9"/>
        <color rgb="FF666666"/>
        <rFont val="DejaVu Sans"/>
        <family val="2"/>
      </rPr>
      <t xml:space="preserve">调整 </t>
    </r>
    <r>
      <rPr>
        <i val="true"/>
        <sz val="9"/>
        <color rgb="FF666666"/>
        <rFont val="Arial"/>
        <family val="2"/>
        <charset val="1"/>
      </rPr>
      <t xml:space="preserve">Sheet 1 </t>
    </r>
    <r>
      <rPr>
        <i val="true"/>
        <sz val="9"/>
        <color rgb="FF666666"/>
        <rFont val="DejaVu Sans"/>
        <family val="2"/>
      </rPr>
      <t xml:space="preserve">的 </t>
    </r>
    <r>
      <rPr>
        <i val="true"/>
        <sz val="9"/>
        <color rgb="FF666666"/>
        <rFont val="Arial"/>
        <family val="2"/>
        <charset val="1"/>
      </rPr>
      <t xml:space="preserve">Bear/Base </t>
    </r>
    <r>
      <rPr>
        <i val="true"/>
        <sz val="9"/>
        <color rgb="FF666666"/>
        <rFont val="DejaVu Sans"/>
        <family val="2"/>
      </rPr>
      <t xml:space="preserve">倍数（向下）</t>
    </r>
  </si>
  <si>
    <r>
      <rPr>
        <i val="true"/>
        <sz val="9"/>
        <color rgb="FF666666"/>
        <rFont val="Arial"/>
        <family val="2"/>
        <charset val="1"/>
      </rPr>
      <t xml:space="preserve">□ 7. </t>
    </r>
    <r>
      <rPr>
        <i val="true"/>
        <sz val="9"/>
        <color rgb="FF666666"/>
        <rFont val="DejaVu Sans"/>
        <family val="2"/>
      </rPr>
      <t xml:space="preserve">检查 </t>
    </r>
    <r>
      <rPr>
        <i val="true"/>
        <sz val="9"/>
        <color rgb="FF666666"/>
        <rFont val="Arial"/>
        <family val="2"/>
        <charset val="1"/>
      </rPr>
      <t xml:space="preserve">Sheet 4 </t>
    </r>
    <r>
      <rPr>
        <i val="true"/>
        <sz val="9"/>
        <color rgb="FF666666"/>
        <rFont val="DejaVu Sans"/>
        <family val="2"/>
      </rPr>
      <t xml:space="preserve">的</t>
    </r>
    <r>
      <rPr>
        <i val="true"/>
        <sz val="9"/>
        <color rgb="FF666666"/>
        <rFont val="Arial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决策建议</t>
    </r>
    <r>
      <rPr>
        <i val="true"/>
        <sz val="9"/>
        <color rgb="FF666666"/>
        <rFont val="Arial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是否变化</t>
    </r>
  </si>
  <si>
    <r>
      <rPr>
        <i val="true"/>
        <sz val="9"/>
        <color rgb="FF666666"/>
        <rFont val="Arial"/>
        <family val="2"/>
        <charset val="1"/>
      </rPr>
      <t xml:space="preserve">□ 8. </t>
    </r>
    <r>
      <rPr>
        <i val="true"/>
        <sz val="9"/>
        <color rgb="FF666666"/>
        <rFont val="DejaVu Sans"/>
        <family val="2"/>
      </rPr>
      <t xml:space="preserve">如果决策从</t>
    </r>
    <r>
      <rPr>
        <i val="true"/>
        <sz val="9"/>
        <color rgb="FF666666"/>
        <rFont val="Arial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中性</t>
    </r>
    <r>
      <rPr>
        <i val="true"/>
        <sz val="9"/>
        <color rgb="FF666666"/>
        <rFont val="Arial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变成</t>
    </r>
    <r>
      <rPr>
        <i val="true"/>
        <sz val="9"/>
        <color rgb="FF666666"/>
        <rFont val="Arial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买入信号</t>
    </r>
    <r>
      <rPr>
        <i val="true"/>
        <sz val="9"/>
        <color rgb="FF666666"/>
        <rFont val="Arial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或</t>
    </r>
    <r>
      <rPr>
        <i val="true"/>
        <sz val="9"/>
        <color rgb="FF666666"/>
        <rFont val="Arial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避免</t>
    </r>
    <r>
      <rPr>
        <i val="true"/>
        <sz val="9"/>
        <color rgb="FF666666"/>
        <rFont val="Arial"/>
        <family val="2"/>
        <charset val="1"/>
      </rPr>
      <t xml:space="preserve">", </t>
    </r>
    <r>
      <rPr>
        <i val="true"/>
        <sz val="9"/>
        <color rgb="FF666666"/>
        <rFont val="DejaVu Sans"/>
        <family val="2"/>
      </rPr>
      <t xml:space="preserve">写一份分析说明</t>
    </r>
  </si>
  <si>
    <r>
      <rPr>
        <i val="true"/>
        <sz val="9"/>
        <color rgb="FF666666"/>
        <rFont val="Arial"/>
        <family val="2"/>
        <charset val="1"/>
      </rPr>
      <t xml:space="preserve">□ 9. </t>
    </r>
    <r>
      <rPr>
        <i val="true"/>
        <sz val="9"/>
        <color rgb="FF666666"/>
        <rFont val="DejaVu Sans"/>
        <family val="2"/>
      </rPr>
      <t xml:space="preserve">把更新结果加进 </t>
    </r>
    <r>
      <rPr>
        <i val="true"/>
        <sz val="9"/>
        <color rgb="FF666666"/>
        <rFont val="Arial"/>
        <family val="2"/>
        <charset val="1"/>
      </rPr>
      <t xml:space="preserve">V5C </t>
    </r>
    <r>
      <rPr>
        <i val="true"/>
        <sz val="9"/>
        <color rgb="FF666666"/>
        <rFont val="DejaVu Sans"/>
        <family val="2"/>
      </rPr>
      <t xml:space="preserve">项目 </t>
    </r>
    <r>
      <rPr>
        <i val="true"/>
        <sz val="9"/>
        <color rgb="FF666666"/>
        <rFont val="Arial"/>
        <family val="2"/>
        <charset val="1"/>
      </rPr>
      <t xml:space="preserve">reflections/06 </t>
    </r>
    <r>
      <rPr>
        <i val="true"/>
        <sz val="9"/>
        <color rgb="FF666666"/>
        <rFont val="DejaVu Sans"/>
        <family val="2"/>
      </rPr>
      <t xml:space="preserve">笔记</t>
    </r>
  </si>
  <si>
    <r>
      <rPr>
        <i val="true"/>
        <sz val="9"/>
        <color rgb="FF666666"/>
        <rFont val="Arial"/>
        <family val="2"/>
        <charset val="1"/>
      </rPr>
      <t xml:space="preserve">□ 10. </t>
    </r>
    <r>
      <rPr>
        <i val="true"/>
        <sz val="9"/>
        <color rgb="FF666666"/>
        <rFont val="DejaVu Sans"/>
        <family val="2"/>
      </rPr>
      <t xml:space="preserve">不基于单季度数据修改 </t>
    </r>
    <r>
      <rPr>
        <i val="true"/>
        <sz val="9"/>
        <color rgb="FF666666"/>
        <rFont val="Arial"/>
        <family val="2"/>
        <charset val="1"/>
      </rPr>
      <t xml:space="preserve">V5C 3.3a (24 </t>
    </r>
    <r>
      <rPr>
        <i val="true"/>
        <sz val="9"/>
        <color rgb="FF666666"/>
        <rFont val="DejaVu Sans"/>
        <family val="2"/>
      </rPr>
      <t xml:space="preserve">个月承诺</t>
    </r>
    <r>
      <rPr>
        <i val="true"/>
        <sz val="9"/>
        <color rgb="FF666666"/>
        <rFont val="Arial"/>
        <family val="2"/>
        <charset val="1"/>
      </rPr>
      <t xml:space="preserve">)</t>
    </r>
  </si>
  <si>
    <r>
      <rPr>
        <b val="true"/>
        <sz val="14"/>
        <color rgb="FF2E7D32"/>
        <rFont val="DejaVu Sans"/>
        <family val="2"/>
      </rPr>
      <t xml:space="preserve">期权组合估值（</t>
    </r>
    <r>
      <rPr>
        <b val="true"/>
        <sz val="14"/>
        <color rgb="FF2E7D32"/>
        <rFont val="DejaVu Sans"/>
        <family val="2"/>
        <charset val="1"/>
      </rPr>
      <t xml:space="preserve">Real Option Value</t>
    </r>
    <r>
      <rPr>
        <b val="true"/>
        <sz val="14"/>
        <color rgb="FF2E7D32"/>
        <rFont val="DejaVu Sans"/>
        <family val="2"/>
      </rPr>
      <t xml:space="preserve">）</t>
    </r>
  </si>
  <si>
    <r>
      <rPr>
        <i val="true"/>
        <sz val="11"/>
        <color rgb="FF808080"/>
        <rFont val="DejaVu Sans"/>
        <family val="2"/>
      </rPr>
      <t xml:space="preserve">原理：每个 </t>
    </r>
    <r>
      <rPr>
        <i val="true"/>
        <sz val="11"/>
        <color rgb="FF808080"/>
        <rFont val="DejaVu Sans"/>
        <family val="2"/>
        <charset val="1"/>
      </rPr>
      <t xml:space="preserve">R&amp;D </t>
    </r>
    <r>
      <rPr>
        <i val="true"/>
        <sz val="11"/>
        <color rgb="FF808080"/>
        <rFont val="DejaVu Sans"/>
        <family val="2"/>
      </rPr>
      <t xml:space="preserve">期权 </t>
    </r>
    <r>
      <rPr>
        <i val="true"/>
        <sz val="11"/>
        <color rgb="FF808080"/>
        <rFont val="DejaVu Sans"/>
        <family val="2"/>
        <charset val="1"/>
      </rPr>
      <t xml:space="preserve">= </t>
    </r>
    <r>
      <rPr>
        <i val="true"/>
        <sz val="11"/>
        <color rgb="FF808080"/>
        <rFont val="DejaVu Sans"/>
        <family val="2"/>
      </rPr>
      <t xml:space="preserve">上限估值 </t>
    </r>
    <r>
      <rPr>
        <i val="true"/>
        <sz val="11"/>
        <color rgb="FF808080"/>
        <rFont val="DejaVu Sans"/>
        <family val="2"/>
        <charset val="1"/>
      </rPr>
      <t xml:space="preserve">× </t>
    </r>
    <r>
      <rPr>
        <i val="true"/>
        <sz val="11"/>
        <color rgb="FF808080"/>
        <rFont val="DejaVu Sans"/>
        <family val="2"/>
      </rPr>
      <t xml:space="preserve">概率 </t>
    </r>
    <r>
      <rPr>
        <i val="true"/>
        <sz val="11"/>
        <color rgb="FF808080"/>
        <rFont val="DejaVu Sans"/>
        <family val="2"/>
        <charset val="1"/>
      </rPr>
      <t xml:space="preserve">× </t>
    </r>
    <r>
      <rPr>
        <i val="true"/>
        <sz val="11"/>
        <color rgb="FF808080"/>
        <rFont val="DejaVu Sans"/>
        <family val="2"/>
      </rPr>
      <t xml:space="preserve">时间折现 </t>
    </r>
    <r>
      <rPr>
        <i val="true"/>
        <sz val="11"/>
        <color rgb="FF808080"/>
        <rFont val="DejaVu Sans"/>
        <family val="2"/>
        <charset val="1"/>
      </rPr>
      <t xml:space="preserve">(4 </t>
    </r>
    <r>
      <rPr>
        <i val="true"/>
        <sz val="11"/>
        <color rgb="FF808080"/>
        <rFont val="DejaVu Sans"/>
        <family val="2"/>
      </rPr>
      <t xml:space="preserve">年</t>
    </r>
    <r>
      <rPr>
        <i val="true"/>
        <sz val="11"/>
        <color rgb="FF808080"/>
        <rFont val="DejaVu Sans"/>
        <family val="2"/>
        <charset val="1"/>
      </rPr>
      <t xml:space="preserve">)</t>
    </r>
    <r>
      <rPr>
        <i val="true"/>
        <sz val="11"/>
        <color rgb="FF808080"/>
        <rFont val="DejaVu Sans"/>
        <family val="2"/>
      </rPr>
      <t xml:space="preserve">；不重复计入主 </t>
    </r>
    <r>
      <rPr>
        <i val="true"/>
        <sz val="11"/>
        <color rgb="FF808080"/>
        <rFont val="DejaVu Sans"/>
        <family val="2"/>
        <charset val="1"/>
      </rPr>
      <t xml:space="preserve">SOTP</t>
    </r>
  </si>
  <si>
    <t xml:space="preserve">一、期权识别与估值</t>
  </si>
  <si>
    <t xml:space="preserve">期权</t>
  </si>
  <si>
    <r>
      <rPr>
        <b val="true"/>
        <sz val="11"/>
        <rFont val="DejaVu Sans"/>
        <family val="2"/>
      </rPr>
      <t xml:space="preserve">当前估值锚 </t>
    </r>
    <r>
      <rPr>
        <b val="true"/>
        <sz val="11"/>
        <rFont val="DejaVu Sans"/>
        <family val="2"/>
        <charset val="1"/>
      </rPr>
      <t xml:space="preserve">($B)</t>
    </r>
  </si>
  <si>
    <r>
      <rPr>
        <b val="true"/>
        <sz val="11"/>
        <rFont val="DejaVu Sans"/>
        <family val="2"/>
      </rPr>
      <t xml:space="preserve">上限估值 </t>
    </r>
    <r>
      <rPr>
        <b val="true"/>
        <sz val="11"/>
        <rFont val="DejaVu Sans"/>
        <family val="2"/>
        <charset val="1"/>
      </rPr>
      <t xml:space="preserve">($B)</t>
    </r>
  </si>
  <si>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DejaVu Sans"/>
        <family val="2"/>
      </rPr>
      <t xml:space="preserve">年成熟概率</t>
    </r>
  </si>
  <si>
    <r>
      <rPr>
        <b val="true"/>
        <sz val="11"/>
        <rFont val="DejaVu Sans"/>
        <family val="2"/>
      </rPr>
      <t xml:space="preserve">今天期望值 </t>
    </r>
    <r>
      <rPr>
        <b val="true"/>
        <sz val="11"/>
        <rFont val="DejaVu Sans"/>
        <family val="2"/>
        <charset val="1"/>
      </rPr>
      <t xml:space="preserve">($B)</t>
    </r>
  </si>
  <si>
    <r>
      <rPr>
        <b val="true"/>
        <sz val="11"/>
        <rFont val="DejaVu Sans"/>
        <family val="2"/>
      </rPr>
      <t xml:space="preserve">依据 </t>
    </r>
    <r>
      <rPr>
        <b val="true"/>
        <sz val="11"/>
        <rFont val="DejaVu Sans"/>
        <family val="2"/>
        <charset val="1"/>
      </rPr>
      <t xml:space="preserve">/ </t>
    </r>
    <r>
      <rPr>
        <b val="true"/>
        <sz val="11"/>
        <rFont val="DejaVu Sans"/>
        <family val="2"/>
      </rPr>
      <t xml:space="preserve">备注</t>
    </r>
  </si>
  <si>
    <t xml:space="preserve">Isomorphic Labs</t>
  </si>
  <si>
    <r>
      <rPr>
        <sz val="11"/>
        <color theme="1"/>
        <rFont val="Calibri"/>
        <family val="2"/>
        <charset val="1"/>
      </rPr>
      <t xml:space="preserve">2025/3 Series A $600M, $2.5B </t>
    </r>
    <r>
      <rPr>
        <sz val="11"/>
        <color theme="1"/>
        <rFont val="DejaVu Sans"/>
        <family val="2"/>
      </rPr>
      <t xml:space="preserve">估值；</t>
    </r>
    <r>
      <rPr>
        <sz val="11"/>
        <color theme="1"/>
        <rFont val="Calibri"/>
        <family val="2"/>
        <charset val="1"/>
      </rPr>
      <t xml:space="preserve">Eli Lilly+Novartis </t>
    </r>
    <r>
      <rPr>
        <sz val="11"/>
        <color theme="1"/>
        <rFont val="DejaVu Sans"/>
        <family val="2"/>
      </rPr>
      <t xml:space="preserve">合作 </t>
    </r>
    <r>
      <rPr>
        <sz val="11"/>
        <color theme="1"/>
        <rFont val="Calibri"/>
        <family val="2"/>
        <charset val="1"/>
      </rPr>
      <t xml:space="preserve">$3B </t>
    </r>
    <r>
      <rPr>
        <sz val="11"/>
        <color theme="1"/>
        <rFont val="DejaVu Sans"/>
        <family val="2"/>
      </rPr>
      <t xml:space="preserve">里程碑；</t>
    </r>
    <r>
      <rPr>
        <sz val="11"/>
        <color theme="1"/>
        <rFont val="Calibri"/>
        <family val="2"/>
        <charset val="1"/>
      </rPr>
      <t xml:space="preserve">Hassabis </t>
    </r>
    <r>
      <rPr>
        <sz val="11"/>
        <color theme="1"/>
        <rFont val="DejaVu Sans"/>
        <family val="2"/>
      </rPr>
      <t xml:space="preserve">目标 </t>
    </r>
    <r>
      <rPr>
        <sz val="11"/>
        <color theme="1"/>
        <rFont val="Calibri"/>
        <family val="2"/>
        <charset val="1"/>
      </rPr>
      <t xml:space="preserve">$100B AI </t>
    </r>
    <r>
      <rPr>
        <sz val="11"/>
        <color theme="1"/>
        <rFont val="DejaVu Sans"/>
        <family val="2"/>
      </rPr>
      <t xml:space="preserve">药物业务</t>
    </r>
  </si>
  <si>
    <r>
      <rPr>
        <sz val="11"/>
        <color theme="1"/>
        <rFont val="Calibri"/>
        <family val="2"/>
        <charset val="1"/>
      </rPr>
      <t xml:space="preserve">Waymo</t>
    </r>
    <r>
      <rPr>
        <sz val="11"/>
        <color theme="1"/>
        <rFont val="DejaVu Sans"/>
        <family val="2"/>
      </rPr>
      <t xml:space="preserve">（已运营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扩张溢价）</t>
    </r>
  </si>
  <si>
    <r>
      <rPr>
        <sz val="11"/>
        <color theme="1"/>
        <rFont val="DejaVu Sans"/>
        <family val="2"/>
      </rPr>
      <t xml:space="preserve">当前 </t>
    </r>
    <r>
      <rPr>
        <sz val="11"/>
        <color theme="1"/>
        <rFont val="DejaVu Sans"/>
        <family val="2"/>
        <charset val="1"/>
      </rPr>
      <t xml:space="preserve">$40B+ </t>
    </r>
    <r>
      <rPr>
        <sz val="11"/>
        <color theme="1"/>
        <rFont val="DejaVu Sans"/>
        <family val="2"/>
      </rPr>
      <t xml:space="preserve">二级市场估值；</t>
    </r>
    <r>
      <rPr>
        <sz val="11"/>
        <color theme="1"/>
        <rFont val="DejaVu Sans"/>
        <family val="2"/>
        <charset val="1"/>
      </rPr>
      <t xml:space="preserve">2025 </t>
    </r>
    <r>
      <rPr>
        <sz val="11"/>
        <color theme="1"/>
        <rFont val="DejaVu Sans"/>
        <family val="2"/>
      </rPr>
      <t xml:space="preserve">起全美扩张；</t>
    </r>
    <r>
      <rPr>
        <sz val="11"/>
        <color theme="1"/>
        <rFont val="DejaVu Sans"/>
        <family val="2"/>
        <charset val="1"/>
      </rPr>
      <t xml:space="preserve">20% </t>
    </r>
    <r>
      <rPr>
        <sz val="11"/>
        <color theme="1"/>
        <rFont val="DejaVu Sans"/>
        <family val="2"/>
      </rPr>
      <t xml:space="preserve">概率成长为 </t>
    </r>
    <r>
      <rPr>
        <sz val="11"/>
        <color theme="1"/>
        <rFont val="DejaVu Sans"/>
        <family val="2"/>
        <charset val="1"/>
      </rPr>
      <t xml:space="preserve">$200B</t>
    </r>
    <r>
      <rPr>
        <sz val="11"/>
        <color theme="1"/>
        <rFont val="DejaVu Sans"/>
        <family val="2"/>
      </rPr>
      <t xml:space="preserve">（自动驾驶规模化）</t>
    </r>
  </si>
  <si>
    <t xml:space="preserve">GameNGen / Genie 3</t>
  </si>
  <si>
    <r>
      <rPr>
        <sz val="11"/>
        <color theme="1"/>
        <rFont val="Calibri"/>
        <family val="2"/>
        <charset val="1"/>
      </rPr>
      <t xml:space="preserve">Pre-revenue</t>
    </r>
    <r>
      <rPr>
        <sz val="11"/>
        <color theme="1"/>
        <rFont val="DejaVu Sans"/>
        <family val="2"/>
      </rPr>
      <t xml:space="preserve">；与 </t>
    </r>
    <r>
      <rPr>
        <sz val="11"/>
        <color theme="1"/>
        <rFont val="Calibri"/>
        <family val="2"/>
        <charset val="1"/>
      </rPr>
      <t xml:space="preserve">Sora </t>
    </r>
    <r>
      <rPr>
        <sz val="11"/>
        <color theme="1"/>
        <rFont val="DejaVu Sans"/>
        <family val="2"/>
      </rPr>
      <t xml:space="preserve">同档；</t>
    </r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DejaVu Sans"/>
        <family val="2"/>
      </rPr>
      <t xml:space="preserve">概率颠覆游戏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视频内容</t>
    </r>
  </si>
  <si>
    <r>
      <rPr>
        <sz val="11"/>
        <color theme="1"/>
        <rFont val="Calibri"/>
        <family val="2"/>
        <charset val="1"/>
      </rPr>
      <t xml:space="preserve">Project Astra</t>
    </r>
    <r>
      <rPr>
        <sz val="11"/>
        <color theme="1"/>
        <rFont val="DejaVu Sans"/>
        <family val="2"/>
      </rPr>
      <t xml:space="preserve">（通用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助手）</t>
    </r>
  </si>
  <si>
    <r>
      <rPr>
        <sz val="11"/>
        <color theme="1"/>
        <rFont val="Calibri"/>
        <family val="2"/>
        <charset val="1"/>
      </rPr>
      <t xml:space="preserve">Pre-revenue</t>
    </r>
    <r>
      <rPr>
        <sz val="11"/>
        <color theme="1"/>
        <rFont val="DejaVu Sans"/>
        <family val="2"/>
      </rPr>
      <t xml:space="preserve">；整合 </t>
    </r>
    <r>
      <rPr>
        <sz val="11"/>
        <color theme="1"/>
        <rFont val="Calibri"/>
        <family val="2"/>
        <charset val="1"/>
      </rPr>
      <t xml:space="preserve">Pixel/Android </t>
    </r>
    <r>
      <rPr>
        <sz val="11"/>
        <color theme="1"/>
        <rFont val="DejaVu Sans"/>
        <family val="2"/>
      </rPr>
      <t xml:space="preserve">生态；</t>
    </r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DejaVu Sans"/>
        <family val="2"/>
      </rPr>
      <t xml:space="preserve">概率取代 </t>
    </r>
    <r>
      <rPr>
        <sz val="11"/>
        <color theme="1"/>
        <rFont val="Calibri"/>
        <family val="2"/>
        <charset val="1"/>
      </rPr>
      <t xml:space="preserve">Gemini App </t>
    </r>
    <r>
      <rPr>
        <sz val="11"/>
        <color theme="1"/>
        <rFont val="DejaVu Sans"/>
        <family val="2"/>
      </rPr>
      <t xml:space="preserve">成为入口</t>
    </r>
  </si>
  <si>
    <r>
      <rPr>
        <sz val="11"/>
        <color theme="1"/>
        <rFont val="Calibri"/>
        <family val="2"/>
        <charset val="1"/>
      </rPr>
      <t xml:space="preserve">AlphaProteo / Robotics / </t>
    </r>
    <r>
      <rPr>
        <sz val="11"/>
        <color theme="1"/>
        <rFont val="DejaVu Sans"/>
        <family val="2"/>
      </rPr>
      <t xml:space="preserve">其他</t>
    </r>
  </si>
  <si>
    <r>
      <rPr>
        <sz val="11"/>
        <color theme="1"/>
        <rFont val="DejaVu Sans"/>
        <family val="2"/>
      </rPr>
      <t xml:space="preserve">组合期权：蛋白设计 </t>
    </r>
    <r>
      <rPr>
        <sz val="11"/>
        <color theme="1"/>
        <rFont val="DejaVu Sans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机器人 </t>
    </r>
    <r>
      <rPr>
        <sz val="11"/>
        <color theme="1"/>
        <rFont val="DejaVu Sans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量子计算等</t>
    </r>
  </si>
  <si>
    <t xml:space="preserve">期权组合期望值合计</t>
  </si>
  <si>
    <t xml:space="preserve">二、保守调整与时间折现</t>
  </si>
  <si>
    <t xml:space="preserve">保守系数（避免乐观偏差）</t>
  </si>
  <si>
    <r>
      <rPr>
        <sz val="11"/>
        <color theme="1"/>
        <rFont val="DejaVu Sans"/>
        <family val="2"/>
      </rPr>
      <t xml:space="preserve">默认 </t>
    </r>
    <r>
      <rPr>
        <sz val="11"/>
        <color theme="1"/>
        <rFont val="DejaVu Sans"/>
        <family val="2"/>
        <charset val="1"/>
      </rPr>
      <t xml:space="preserve">70%</t>
    </r>
    <r>
      <rPr>
        <sz val="11"/>
        <color theme="1"/>
        <rFont val="DejaVu Sans"/>
        <family val="2"/>
      </rPr>
      <t xml:space="preserve">；</t>
    </r>
    <r>
      <rPr>
        <sz val="11"/>
        <color theme="1"/>
        <rFont val="DejaVu Sans"/>
        <family val="2"/>
        <charset val="1"/>
      </rPr>
      <t xml:space="preserve">DeepMind R&amp;D </t>
    </r>
    <r>
      <rPr>
        <sz val="11"/>
        <color theme="1"/>
        <rFont val="DejaVu Sans"/>
        <family val="2"/>
      </rPr>
      <t xml:space="preserve">历史 </t>
    </r>
    <r>
      <rPr>
        <sz val="11"/>
        <color theme="1"/>
        <rFont val="DejaVu Sans"/>
        <family val="2"/>
        <charset val="1"/>
      </rPr>
      <t xml:space="preserve">hit rate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</si>
  <si>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年时间折现因子（</t>
    </r>
    <r>
      <rPr>
        <sz val="11"/>
        <color theme="1"/>
        <rFont val="Calibri"/>
        <family val="2"/>
        <charset val="1"/>
      </rPr>
      <t xml:space="preserve">@10%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</si>
  <si>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从 </t>
    </r>
    <r>
      <rPr>
        <sz val="11"/>
        <color theme="1"/>
        <rFont val="DejaVu Sans"/>
        <family val="2"/>
        <charset val="1"/>
      </rPr>
      <t xml:space="preserve">2031 </t>
    </r>
    <r>
      <rPr>
        <sz val="11"/>
        <color theme="1"/>
        <rFont val="DejaVu Sans"/>
        <family val="2"/>
      </rPr>
      <t xml:space="preserve">视角折回今天</t>
    </r>
  </si>
  <si>
    <t xml:space="preserve">调整后期望值</t>
  </si>
  <si>
    <r>
      <rPr>
        <b val="true"/>
        <sz val="12"/>
        <color rgb="FF2E7D32"/>
        <rFont val="DejaVu Sans"/>
        <family val="2"/>
      </rPr>
      <t xml:space="preserve">⭐ 计入 </t>
    </r>
    <r>
      <rPr>
        <b val="true"/>
        <sz val="12"/>
        <color rgb="FF2E7D32"/>
        <rFont val="DejaVu Sans"/>
        <family val="2"/>
        <charset val="1"/>
      </rPr>
      <t xml:space="preserve">SOTP </t>
    </r>
    <r>
      <rPr>
        <b val="true"/>
        <sz val="12"/>
        <color rgb="FF2E7D32"/>
        <rFont val="DejaVu Sans"/>
        <family val="2"/>
      </rPr>
      <t xml:space="preserve">的期权价值</t>
    </r>
  </si>
  <si>
    <t xml:space="preserve">三、为什么这样建模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</si>
  <si>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DejaVu Sans"/>
        <family val="2"/>
      </rPr>
      <t xml:space="preserve">主 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DejaVu Sans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Sheet 3</t>
    </r>
    <r>
      <rPr>
        <sz val="11"/>
        <color theme="1"/>
        <rFont val="DejaVu Sans"/>
        <family val="2"/>
      </rPr>
      <t xml:space="preserve">）只算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DejaVu Sans"/>
        <family val="2"/>
      </rPr>
      <t xml:space="preserve">已有营收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DejaVu Sans"/>
        <family val="2"/>
      </rPr>
      <t xml:space="preserve">多倍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DejaVu Sans"/>
        <family val="2"/>
      </rPr>
      <t xml:space="preserve">预测增速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DejaVu Sans"/>
        <family val="2"/>
      </rPr>
      <t xml:space="preserve">，会系统性低估 </t>
    </r>
    <r>
      <rPr>
        <sz val="11"/>
        <color theme="1"/>
        <rFont val="Calibri"/>
        <family val="2"/>
        <charset val="1"/>
      </rPr>
      <t xml:space="preserve">R&amp;D </t>
    </r>
    <r>
      <rPr>
        <sz val="11"/>
        <color theme="1"/>
        <rFont val="DejaVu Sans"/>
        <family val="2"/>
      </rPr>
      <t xml:space="preserve">期权</t>
    </r>
  </si>
  <si>
    <r>
      <rPr>
        <sz val="11"/>
        <color theme="1"/>
        <rFont val="Calibri"/>
        <family val="2"/>
        <charset val="1"/>
      </rPr>
      <t xml:space="preserve">· DeepMind / Isomorphic / Waymo </t>
    </r>
    <r>
      <rPr>
        <sz val="11"/>
        <color theme="1"/>
        <rFont val="DejaVu Sans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pre-revenue </t>
    </r>
    <r>
      <rPr>
        <sz val="11"/>
        <color theme="1"/>
        <rFont val="DejaVu Sans"/>
        <family val="2"/>
      </rPr>
      <t xml:space="preserve">业务用传统 </t>
    </r>
    <r>
      <rPr>
        <sz val="11"/>
        <color theme="1"/>
        <rFont val="Calibri"/>
        <family val="2"/>
        <charset val="1"/>
      </rPr>
      <t xml:space="preserve">P/S </t>
    </r>
    <r>
      <rPr>
        <sz val="11"/>
        <color theme="1"/>
        <rFont val="DejaVu Sans"/>
        <family val="2"/>
      </rPr>
      <t xml:space="preserve">倍数 </t>
    </r>
    <r>
      <rPr>
        <sz val="11"/>
        <color theme="1"/>
        <rFont val="Calibri"/>
        <family val="2"/>
        <charset val="1"/>
      </rPr>
      <t xml:space="preserve">= 0</t>
    </r>
    <r>
      <rPr>
        <sz val="11"/>
        <color theme="1"/>
        <rFont val="DejaVu Sans"/>
        <family val="2"/>
      </rPr>
      <t xml:space="preserve">，但实际有 </t>
    </r>
    <r>
      <rPr>
        <sz val="11"/>
        <color theme="1"/>
        <rFont val="Calibri"/>
        <family val="2"/>
        <charset val="1"/>
      </rPr>
      <t xml:space="preserve">option value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</si>
  <si>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DejaVu Sans"/>
        <family val="2"/>
      </rPr>
      <t xml:space="preserve">概率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DejaVu Sans"/>
        <family val="2"/>
      </rPr>
      <t xml:space="preserve">上限估值 比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DejaVu Sans"/>
        <family val="2"/>
      </rPr>
      <t xml:space="preserve">假设它会成为 </t>
    </r>
    <r>
      <rPr>
        <sz val="11"/>
        <color theme="1"/>
        <rFont val="Calibri"/>
        <family val="2"/>
        <charset val="1"/>
      </rPr>
      <t xml:space="preserve">$X </t>
    </r>
    <r>
      <rPr>
        <sz val="11"/>
        <color theme="1"/>
        <rFont val="DejaVu Sans"/>
        <family val="2"/>
      </rPr>
      <t xml:space="preserve">业务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DejaVu Sans"/>
        <family val="2"/>
      </rPr>
      <t xml:space="preserve">更稳健（</t>
    </r>
    <r>
      <rPr>
        <sz val="11"/>
        <color theme="1"/>
        <rFont val="Calibri"/>
        <family val="2"/>
        <charset val="1"/>
      </rPr>
      <t xml:space="preserve">Real Options </t>
    </r>
    <r>
      <rPr>
        <sz val="11"/>
        <color theme="1"/>
        <rFont val="DejaVu Sans"/>
        <family val="2"/>
      </rPr>
      <t xml:space="preserve">理论）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</si>
  <si>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DejaVu Sans"/>
        <family val="2"/>
      </rPr>
      <t xml:space="preserve">保守系数 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DejaVu Sans"/>
        <family val="2"/>
      </rPr>
      <t xml:space="preserve">进一步惩罚乐观偏差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</si>
  <si>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DejaVu Sans"/>
        <family val="2"/>
      </rPr>
      <t xml:space="preserve">时间折现 </t>
    </r>
    <r>
      <rPr>
        <sz val="11"/>
        <color theme="1"/>
        <rFont val="Calibri"/>
        <family val="2"/>
        <charset val="1"/>
      </rPr>
      <t xml:space="preserve">0.621 </t>
    </r>
    <r>
      <rPr>
        <sz val="11"/>
        <color theme="1"/>
        <rFont val="DejaVu Sans"/>
        <family val="2"/>
      </rPr>
      <t xml:space="preserve">反映</t>
    </r>
    <r>
      <rPr>
        <sz val="11"/>
        <color theme="1"/>
        <rFont val="Calibri"/>
        <family val="2"/>
        <charset val="1"/>
      </rPr>
      <t xml:space="preserve">"5 </t>
    </r>
    <r>
      <rPr>
        <sz val="11"/>
        <color theme="1"/>
        <rFont val="DejaVu Sans"/>
        <family val="2"/>
      </rPr>
      <t xml:space="preserve">年才能成熟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DejaVu Sans"/>
        <family val="2"/>
      </rPr>
      <t xml:space="preserve">的耐心溢价</t>
    </r>
  </si>
  <si>
    <r>
      <rPr>
        <sz val="11"/>
        <color theme="1"/>
        <rFont val="DejaVu Sans"/>
        <family val="2"/>
      </rPr>
      <t xml:space="preserve">注：</t>
    </r>
    <r>
      <rPr>
        <sz val="11"/>
        <color theme="1"/>
        <rFont val="DejaVu Sans"/>
        <family val="2"/>
        <charset val="1"/>
      </rPr>
      <t xml:space="preserve">Waymo </t>
    </r>
    <r>
      <rPr>
        <sz val="11"/>
        <color theme="1"/>
        <rFont val="DejaVu Sans"/>
        <family val="2"/>
      </rPr>
      <t xml:space="preserve">当前 </t>
    </r>
    <r>
      <rPr>
        <sz val="11"/>
        <color theme="1"/>
        <rFont val="DejaVu Sans"/>
        <family val="2"/>
        <charset val="1"/>
      </rPr>
      <t xml:space="preserve">$40B </t>
    </r>
    <r>
      <rPr>
        <sz val="11"/>
        <color theme="1"/>
        <rFont val="DejaVu Sans"/>
        <family val="2"/>
      </rPr>
      <t xml:space="preserve">已是市场锚点（不只是期权），上限 </t>
    </r>
    <r>
      <rPr>
        <sz val="11"/>
        <color theme="1"/>
        <rFont val="DejaVu Sans"/>
        <family val="2"/>
        <charset val="1"/>
      </rPr>
      <t xml:space="preserve">$200B </t>
    </r>
    <r>
      <rPr>
        <sz val="11"/>
        <color theme="1"/>
        <rFont val="DejaVu Sans"/>
        <family val="2"/>
      </rPr>
      <t xml:space="preserve">反映</t>
    </r>
    <r>
      <rPr>
        <sz val="11"/>
        <color theme="1"/>
        <rFont val="DejaVu Sans"/>
        <family val="2"/>
        <charset val="1"/>
      </rPr>
      <t xml:space="preserve">"</t>
    </r>
    <r>
      <rPr>
        <sz val="11"/>
        <color theme="1"/>
        <rFont val="DejaVu Sans"/>
        <family val="2"/>
      </rPr>
      <t xml:space="preserve">全美 </t>
    </r>
    <r>
      <rPr>
        <sz val="11"/>
        <color theme="1"/>
        <rFont val="DejaVu Sans"/>
        <family val="2"/>
        <charset val="1"/>
      </rPr>
      <t xml:space="preserve">50 </t>
    </r>
    <r>
      <rPr>
        <sz val="11"/>
        <color theme="1"/>
        <rFont val="DejaVu Sans"/>
        <family val="2"/>
      </rPr>
      <t xml:space="preserve">城自动驾驶规模化</t>
    </r>
    <r>
      <rPr>
        <sz val="11"/>
        <color theme="1"/>
        <rFont val="DejaVu Sans"/>
        <family val="2"/>
        <charset val="1"/>
      </rPr>
      <t xml:space="preserve">"</t>
    </r>
    <r>
      <rPr>
        <sz val="11"/>
        <color theme="1"/>
        <rFont val="DejaVu Sans"/>
        <family val="2"/>
      </rPr>
      <t xml:space="preserve">的乐观情景</t>
    </r>
  </si>
  <si>
    <r>
      <rPr>
        <b val="true"/>
        <sz val="14"/>
        <color rgb="FF2E7D32"/>
        <rFont val="Cambria"/>
        <family val="0"/>
        <charset val="1"/>
      </rPr>
      <t xml:space="preserve">AI </t>
    </r>
    <r>
      <rPr>
        <b val="true"/>
        <sz val="14"/>
        <color rgb="FF2E7D32"/>
        <rFont val="DejaVu Sans"/>
        <family val="2"/>
      </rPr>
      <t xml:space="preserve">业务 </t>
    </r>
    <r>
      <rPr>
        <b val="true"/>
        <sz val="14"/>
        <color rgb="FF2E7D32"/>
        <rFont val="Cambria"/>
        <family val="0"/>
        <charset val="1"/>
      </rPr>
      <t xml:space="preserve">KPI </t>
    </r>
    <r>
      <rPr>
        <b val="true"/>
        <sz val="14"/>
        <color rgb="FF2E7D32"/>
        <rFont val="DejaVu Sans"/>
        <family val="2"/>
      </rPr>
      <t xml:space="preserve">季度跟踪表</t>
    </r>
  </si>
  <si>
    <r>
      <rPr>
        <i val="true"/>
        <sz val="11"/>
        <color rgb="FF808080"/>
        <rFont val="DejaVu Sans"/>
        <family val="2"/>
      </rPr>
      <t xml:space="preserve">每季度 </t>
    </r>
    <r>
      <rPr>
        <i val="true"/>
        <sz val="11"/>
        <color rgb="FF808080"/>
        <rFont val="DejaVu Sans"/>
        <family val="2"/>
        <charset val="1"/>
      </rPr>
      <t xml:space="preserve">GOOG </t>
    </r>
    <r>
      <rPr>
        <i val="true"/>
        <sz val="11"/>
        <color rgb="FF808080"/>
        <rFont val="DejaVu Sans"/>
        <family val="2"/>
      </rPr>
      <t xml:space="preserve">财报后更新；用于校准 </t>
    </r>
    <r>
      <rPr>
        <i val="true"/>
        <sz val="11"/>
        <color rgb="FF808080"/>
        <rFont val="DejaVu Sans"/>
        <family val="2"/>
        <charset val="1"/>
      </rPr>
      <t xml:space="preserve">Sheet 1 </t>
    </r>
    <r>
      <rPr>
        <i val="true"/>
        <sz val="11"/>
        <color rgb="FF808080"/>
        <rFont val="DejaVu Sans"/>
        <family val="2"/>
      </rPr>
      <t xml:space="preserve">的 </t>
    </r>
    <r>
      <rPr>
        <i val="true"/>
        <sz val="11"/>
        <color rgb="FF808080"/>
        <rFont val="DejaVu Sans"/>
        <family val="2"/>
        <charset val="1"/>
      </rPr>
      <t xml:space="preserve">CAGR </t>
    </r>
    <r>
      <rPr>
        <i val="true"/>
        <sz val="11"/>
        <color rgb="FF808080"/>
        <rFont val="DejaVu Sans"/>
        <family val="2"/>
      </rPr>
      <t xml:space="preserve">假设</t>
    </r>
  </si>
  <si>
    <r>
      <rPr>
        <b val="true"/>
        <sz val="12"/>
        <color rgb="FF1F4E79"/>
        <rFont val="DejaVu Sans"/>
        <family val="2"/>
      </rPr>
      <t xml:space="preserve">一、</t>
    </r>
    <r>
      <rPr>
        <b val="true"/>
        <sz val="12"/>
        <color rgb="FF1F4E79"/>
        <rFont val="DejaVu Sans"/>
        <family val="2"/>
        <charset val="1"/>
      </rPr>
      <t xml:space="preserve">Cloud AI KPI</t>
    </r>
  </si>
  <si>
    <t xml:space="preserve">KPI</t>
  </si>
  <si>
    <t xml:space="preserve">警戒阈值</t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</si>
  <si>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DejaVu Sans"/>
        <family val="2"/>
      </rPr>
      <t xml:space="preserve">季度营收 </t>
    </r>
    <r>
      <rPr>
        <sz val="11"/>
        <color theme="1"/>
        <rFont val="Calibri"/>
        <family val="2"/>
        <charset val="1"/>
      </rPr>
      <t xml:space="preserve">($B)</t>
    </r>
  </si>
  <si>
    <t xml:space="preserve">20.0</t>
  </si>
  <si>
    <r>
      <rPr>
        <sz val="11"/>
        <color theme="1"/>
        <rFont val="Calibri"/>
        <family val="2"/>
        <charset val="1"/>
      </rPr>
      <t xml:space="preserve">&lt; 22 </t>
    </r>
    <r>
      <rPr>
        <sz val="11"/>
        <color theme="1"/>
        <rFont val="DejaVu Sans"/>
        <family val="2"/>
      </rPr>
      <t xml:space="preserve">警戒</t>
    </r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</si>
  <si>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DejaVu Sans"/>
        <family val="2"/>
      </rPr>
      <t xml:space="preserve">已 </t>
    </r>
    <r>
      <rPr>
        <sz val="11"/>
        <color theme="1"/>
        <rFont val="Calibri"/>
        <family val="2"/>
        <charset val="1"/>
      </rPr>
      <t xml:space="preserve">$20B</t>
    </r>
  </si>
  <si>
    <r>
      <rPr>
        <sz val="11"/>
        <color theme="1"/>
        <rFont val="Calibri"/>
        <family val="2"/>
        <charset val="1"/>
      </rPr>
      <t xml:space="preserve">Cloud YoY </t>
    </r>
    <r>
      <rPr>
        <sz val="11"/>
        <color theme="1"/>
        <rFont val="DejaVu Sans"/>
        <family val="2"/>
      </rPr>
      <t xml:space="preserve">增速</t>
    </r>
  </si>
  <si>
    <t xml:space="preserve">63%</t>
  </si>
  <si>
    <r>
      <rPr>
        <sz val="11"/>
        <color theme="1"/>
        <rFont val="Calibri"/>
        <family val="2"/>
        <charset val="1"/>
      </rPr>
      <t xml:space="preserve">&lt; 50% </t>
    </r>
    <r>
      <rPr>
        <sz val="11"/>
        <color theme="1"/>
        <rFont val="DejaVu Sans"/>
        <family val="2"/>
      </rPr>
      <t xml:space="preserve">警戒</t>
    </r>
  </si>
  <si>
    <r>
      <rPr>
        <sz val="11"/>
        <color theme="1"/>
        <rFont val="DejaVu Sans"/>
        <family val="2"/>
      </rPr>
      <t xml:space="preserve">加速期；</t>
    </r>
    <r>
      <rPr>
        <sz val="11"/>
        <color theme="1"/>
        <rFont val="DejaVu Sans"/>
        <family val="2"/>
        <charset val="1"/>
      </rPr>
      <t xml:space="preserve">&lt; 50% </t>
    </r>
    <r>
      <rPr>
        <sz val="11"/>
        <color theme="1"/>
        <rFont val="DejaVu Sans"/>
        <family val="2"/>
      </rPr>
      <t xml:space="preserve">表示见顶</t>
    </r>
  </si>
  <si>
    <t xml:space="preserve">Cloud RPO ($B)</t>
  </si>
  <si>
    <t xml:space="preserve">462</t>
  </si>
  <si>
    <r>
      <rPr>
        <sz val="11"/>
        <color theme="1"/>
        <rFont val="DejaVu Sans"/>
        <family val="2"/>
      </rPr>
      <t xml:space="preserve">环比 </t>
    </r>
    <r>
      <rPr>
        <sz val="11"/>
        <color theme="1"/>
        <rFont val="DejaVu Sans"/>
        <family val="2"/>
        <charset val="1"/>
      </rPr>
      <t xml:space="preserve">-10% </t>
    </r>
    <r>
      <rPr>
        <sz val="11"/>
        <color theme="1"/>
        <rFont val="DejaVu Sans"/>
        <family val="2"/>
      </rPr>
      <t xml:space="preserve">警戒</t>
    </r>
  </si>
  <si>
    <t xml:space="preserve">Q4 25: $240B → Q1 26: $462B</t>
  </si>
  <si>
    <r>
      <rPr>
        <sz val="11"/>
        <color theme="1"/>
        <rFont val="Calibri"/>
        <family val="2"/>
        <charset val="1"/>
      </rPr>
      <t xml:space="preserve">Cloud GenAI </t>
    </r>
    <r>
      <rPr>
        <sz val="11"/>
        <color theme="1"/>
        <rFont val="DejaVu Sans"/>
        <family val="2"/>
      </rPr>
      <t xml:space="preserve">产品 </t>
    </r>
    <r>
      <rPr>
        <sz val="11"/>
        <color theme="1"/>
        <rFont val="Calibri"/>
        <family val="2"/>
        <charset val="1"/>
      </rPr>
      <t xml:space="preserve">YoY</t>
    </r>
  </si>
  <si>
    <t xml:space="preserve">+800%</t>
  </si>
  <si>
    <r>
      <rPr>
        <sz val="11"/>
        <color theme="1"/>
        <rFont val="Calibri"/>
        <family val="2"/>
        <charset val="1"/>
      </rPr>
      <t xml:space="preserve">&lt; 200% </t>
    </r>
    <r>
      <rPr>
        <sz val="11"/>
        <color theme="1"/>
        <rFont val="DejaVu Sans"/>
        <family val="2"/>
      </rPr>
      <t xml:space="preserve">警戒</t>
    </r>
  </si>
  <si>
    <r>
      <rPr>
        <sz val="11"/>
        <color theme="1"/>
        <rFont val="Calibri"/>
        <family val="2"/>
        <charset val="1"/>
      </rPr>
      <t xml:space="preserve">+800% </t>
    </r>
    <r>
      <rPr>
        <sz val="11"/>
        <color theme="1"/>
        <rFont val="DejaVu Sans"/>
        <family val="2"/>
      </rPr>
      <t xml:space="preserve">是历史峰值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</si>
  <si>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DejaVu Sans"/>
        <family val="2"/>
      </rPr>
      <t xml:space="preserve">营业利润率</t>
    </r>
  </si>
  <si>
    <t xml:space="preserve">~14%</t>
  </si>
  <si>
    <r>
      <rPr>
        <sz val="11"/>
        <color theme="1"/>
        <rFont val="Calibri"/>
        <family val="2"/>
        <charset val="1"/>
      </rPr>
      <t xml:space="preserve">&lt; 10% </t>
    </r>
    <r>
      <rPr>
        <sz val="11"/>
        <color theme="1"/>
        <rFont val="DejaVu Sans"/>
        <family val="2"/>
      </rPr>
      <t xml:space="preserve">警戒</t>
    </r>
  </si>
  <si>
    <r>
      <rPr>
        <sz val="11"/>
        <color theme="1"/>
        <rFont val="DejaVu Sans"/>
        <family val="2"/>
      </rPr>
      <t xml:space="preserve">应该向 </t>
    </r>
    <r>
      <rPr>
        <sz val="11"/>
        <color theme="1"/>
        <rFont val="DejaVu Sans"/>
        <family val="2"/>
        <charset val="1"/>
      </rPr>
      <t xml:space="preserve">AWS 30%+ </t>
    </r>
    <r>
      <rPr>
        <sz val="11"/>
        <color theme="1"/>
        <rFont val="DejaVu Sans"/>
        <family val="2"/>
      </rPr>
      <t xml:space="preserve">收敛</t>
    </r>
  </si>
  <si>
    <r>
      <rPr>
        <b val="true"/>
        <sz val="12"/>
        <color rgb="FF1F4E79"/>
        <rFont val="DejaVu Sans"/>
        <family val="2"/>
      </rPr>
      <t xml:space="preserve">二、</t>
    </r>
    <r>
      <rPr>
        <b val="true"/>
        <sz val="12"/>
        <color rgb="FF1F4E79"/>
        <rFont val="DejaVu Sans"/>
        <family val="2"/>
        <charset val="1"/>
      </rPr>
      <t xml:space="preserve">Search AI KPI</t>
    </r>
  </si>
  <si>
    <r>
      <rPr>
        <sz val="11"/>
        <color theme="1"/>
        <rFont val="Calibri"/>
        <family val="2"/>
        <charset val="1"/>
      </rPr>
      <t xml:space="preserve">Search &amp; Other </t>
    </r>
    <r>
      <rPr>
        <sz val="11"/>
        <color theme="1"/>
        <rFont val="DejaVu Sans"/>
        <family val="2"/>
      </rPr>
      <t xml:space="preserve">季度营收 </t>
    </r>
    <r>
      <rPr>
        <sz val="11"/>
        <color theme="1"/>
        <rFont val="Calibri"/>
        <family val="2"/>
        <charset val="1"/>
      </rPr>
      <t xml:space="preserve">($B)</t>
    </r>
  </si>
  <si>
    <t xml:space="preserve">60.4</t>
  </si>
  <si>
    <r>
      <rPr>
        <sz val="11"/>
        <color theme="1"/>
        <rFont val="Calibri"/>
        <family val="2"/>
        <charset val="1"/>
      </rPr>
      <t xml:space="preserve">&lt; 60 </t>
    </r>
    <r>
      <rPr>
        <sz val="11"/>
        <color theme="1"/>
        <rFont val="DejaVu Sans"/>
        <family val="2"/>
      </rPr>
      <t xml:space="preserve">警戒</t>
    </r>
  </si>
  <si>
    <t xml:space="preserve">Q1 2026 +19% YoY</t>
  </si>
  <si>
    <r>
      <rPr>
        <sz val="11"/>
        <color theme="1"/>
        <rFont val="Calibri"/>
        <family val="2"/>
        <charset val="1"/>
      </rPr>
      <t xml:space="preserve">Search YoY </t>
    </r>
    <r>
      <rPr>
        <sz val="11"/>
        <color theme="1"/>
        <rFont val="DejaVu Sans"/>
        <family val="2"/>
      </rPr>
      <t xml:space="preserve">增速</t>
    </r>
  </si>
  <si>
    <t xml:space="preserve">+19%</t>
  </si>
  <si>
    <r>
      <rPr>
        <sz val="11"/>
        <color theme="1"/>
        <rFont val="Calibri"/>
        <family val="2"/>
        <charset val="1"/>
      </rPr>
      <t xml:space="preserve">&lt; 12% </t>
    </r>
    <r>
      <rPr>
        <sz val="11"/>
        <color theme="1"/>
        <rFont val="DejaVu Sans"/>
        <family val="2"/>
      </rPr>
      <t xml:space="preserve">警戒</t>
    </r>
  </si>
  <si>
    <t xml:space="preserve">当前在加速期</t>
  </si>
  <si>
    <r>
      <rPr>
        <sz val="11"/>
        <color theme="1"/>
        <rFont val="Calibri"/>
        <family val="2"/>
        <charset val="1"/>
      </rPr>
      <t xml:space="preserve">AI Overviews </t>
    </r>
    <r>
      <rPr>
        <sz val="11"/>
        <color theme="1"/>
        <rFont val="DejaVu Sans"/>
        <family val="2"/>
      </rPr>
      <t xml:space="preserve">月活 </t>
    </r>
    <r>
      <rPr>
        <sz val="11"/>
        <color theme="1"/>
        <rFont val="Calibri"/>
        <family val="2"/>
        <charset val="1"/>
      </rPr>
      <t xml:space="preserve">(B)</t>
    </r>
  </si>
  <si>
    <t xml:space="preserve">2.0</t>
  </si>
  <si>
    <r>
      <rPr>
        <sz val="11"/>
        <color theme="1"/>
        <rFont val="DejaVu Sans"/>
        <family val="2"/>
      </rPr>
      <t xml:space="preserve">环比 </t>
    </r>
    <r>
      <rPr>
        <sz val="11"/>
        <color theme="1"/>
        <rFont val="DejaVu Sans"/>
        <family val="2"/>
        <charset val="1"/>
      </rPr>
      <t xml:space="preserve">+0.1 </t>
    </r>
    <r>
      <rPr>
        <sz val="11"/>
        <color theme="1"/>
        <rFont val="DejaVu Sans"/>
        <family val="2"/>
      </rPr>
      <t xml:space="preserve">健康</t>
    </r>
  </si>
  <si>
    <r>
      <rPr>
        <sz val="11"/>
        <color theme="1"/>
        <rFont val="Calibri"/>
        <family val="2"/>
        <charset val="1"/>
      </rPr>
      <t xml:space="preserve">200+ </t>
    </r>
    <r>
      <rPr>
        <sz val="11"/>
        <color theme="1"/>
        <rFont val="DejaVu Sans"/>
        <family val="2"/>
      </rPr>
      <t xml:space="preserve">国家覆盖</t>
    </r>
  </si>
  <si>
    <t xml:space="preserve">AI Mode DAU (M)</t>
  </si>
  <si>
    <t xml:space="preserve">75</t>
  </si>
  <si>
    <r>
      <rPr>
        <sz val="11"/>
        <color theme="1"/>
        <rFont val="DejaVu Sans"/>
        <family val="2"/>
      </rPr>
      <t xml:space="preserve">环比 </t>
    </r>
    <r>
      <rPr>
        <sz val="11"/>
        <color theme="1"/>
        <rFont val="DejaVu Sans"/>
        <family val="2"/>
        <charset val="1"/>
      </rPr>
      <t xml:space="preserve">+5 </t>
    </r>
    <r>
      <rPr>
        <sz val="11"/>
        <color theme="1"/>
        <rFont val="DejaVu Sans"/>
        <family val="2"/>
      </rPr>
      <t xml:space="preserve">健康</t>
    </r>
  </si>
  <si>
    <t xml:space="preserve">US/India</t>
  </si>
  <si>
    <r>
      <rPr>
        <sz val="11"/>
        <color theme="1"/>
        <rFont val="Calibri"/>
        <family val="2"/>
        <charset val="1"/>
      </rPr>
      <t xml:space="preserve">AI Overview SERP </t>
    </r>
    <r>
      <rPr>
        <sz val="11"/>
        <color theme="1"/>
        <rFont val="DejaVu Sans"/>
        <family val="2"/>
      </rPr>
      <t xml:space="preserve">含广告占比</t>
    </r>
  </si>
  <si>
    <t xml:space="preserve">25.5%</t>
  </si>
  <si>
    <r>
      <rPr>
        <sz val="11"/>
        <color theme="1"/>
        <rFont val="DejaVu Sans"/>
        <family val="2"/>
      </rPr>
      <t xml:space="preserve">环比 </t>
    </r>
    <r>
      <rPr>
        <sz val="11"/>
        <color theme="1"/>
        <rFont val="DejaVu Sans"/>
        <family val="2"/>
        <charset val="1"/>
      </rPr>
      <t xml:space="preserve">+1pp </t>
    </r>
    <r>
      <rPr>
        <sz val="11"/>
        <color theme="1"/>
        <rFont val="DejaVu Sans"/>
        <family val="2"/>
      </rPr>
      <t xml:space="preserve">健康</t>
    </r>
  </si>
  <si>
    <r>
      <rPr>
        <sz val="11"/>
        <color theme="1"/>
        <rFont val="DejaVu Sans"/>
        <family val="2"/>
      </rPr>
      <t xml:space="preserve">从 </t>
    </r>
    <r>
      <rPr>
        <sz val="11"/>
        <color theme="1"/>
        <rFont val="DejaVu Sans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月 </t>
    </r>
    <r>
      <rPr>
        <sz val="11"/>
        <color theme="1"/>
        <rFont val="DejaVu Sans"/>
        <family val="2"/>
        <charset val="1"/>
      </rPr>
      <t xml:space="preserve">3% </t>
    </r>
    <r>
      <rPr>
        <sz val="11"/>
        <color theme="1"/>
        <rFont val="DejaVu Sans"/>
        <family val="2"/>
      </rPr>
      <t xml:space="preserve">升</t>
    </r>
  </si>
  <si>
    <t xml:space="preserve">反垄断进展</t>
  </si>
  <si>
    <t xml:space="preserve">上诉中</t>
  </si>
  <si>
    <r>
      <rPr>
        <sz val="11"/>
        <color theme="1"/>
        <rFont val="DejaVu Sans"/>
        <family val="2"/>
      </rPr>
      <t xml:space="preserve">强制分拆 </t>
    </r>
    <r>
      <rPr>
        <sz val="11"/>
        <color theme="1"/>
        <rFont val="DejaVu Sans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重击</t>
    </r>
  </si>
  <si>
    <r>
      <rPr>
        <sz val="11"/>
        <color theme="1"/>
        <rFont val="Calibri"/>
        <family val="2"/>
        <charset val="1"/>
      </rPr>
      <t xml:space="preserve">2026/02 DOJ </t>
    </r>
    <r>
      <rPr>
        <sz val="11"/>
        <color theme="1"/>
        <rFont val="DejaVu Sans"/>
        <family val="2"/>
      </rPr>
      <t xml:space="preserve">上诉</t>
    </r>
  </si>
  <si>
    <r>
      <rPr>
        <b val="true"/>
        <sz val="12"/>
        <color rgb="FF1F4E79"/>
        <rFont val="DejaVu Sans"/>
        <family val="2"/>
      </rPr>
      <t xml:space="preserve">三、</t>
    </r>
    <r>
      <rPr>
        <b val="true"/>
        <sz val="12"/>
        <color rgb="FF1F4E79"/>
        <rFont val="DejaVu Sans"/>
        <family val="2"/>
        <charset val="1"/>
      </rPr>
      <t xml:space="preserve">Workspace AI KPI</t>
    </r>
  </si>
  <si>
    <r>
      <rPr>
        <sz val="11"/>
        <color theme="1"/>
        <rFont val="DejaVu Sans"/>
        <family val="2"/>
      </rPr>
      <t xml:space="preserve">付费业务用户 </t>
    </r>
    <r>
      <rPr>
        <sz val="11"/>
        <color theme="1"/>
        <rFont val="DejaVu Sans"/>
        <family val="2"/>
        <charset val="1"/>
      </rPr>
      <t xml:space="preserve">(M)</t>
    </r>
  </si>
  <si>
    <t xml:space="preserve">100+</t>
  </si>
  <si>
    <r>
      <rPr>
        <sz val="11"/>
        <color theme="1"/>
        <rFont val="Calibri"/>
        <family val="2"/>
        <charset val="1"/>
      </rPr>
      <t xml:space="preserve">&lt;95 </t>
    </r>
    <r>
      <rPr>
        <sz val="11"/>
        <color theme="1"/>
        <rFont val="DejaVu Sans"/>
        <family val="2"/>
      </rPr>
      <t xml:space="preserve">警戒</t>
    </r>
  </si>
  <si>
    <r>
      <rPr>
        <sz val="11"/>
        <color theme="1"/>
        <rFont val="DejaVu Sans"/>
        <family val="2"/>
      </rPr>
      <t xml:space="preserve">含 </t>
    </r>
    <r>
      <rPr>
        <sz val="11"/>
        <color theme="1"/>
        <rFont val="DejaVu Sans"/>
        <family val="2"/>
        <charset val="1"/>
      </rPr>
      <t xml:space="preserve">Gemini AI </t>
    </r>
    <r>
      <rPr>
        <sz val="11"/>
        <color theme="1"/>
        <rFont val="DejaVu Sans"/>
        <family val="2"/>
      </rPr>
      <t xml:space="preserve">内置</t>
    </r>
  </si>
  <si>
    <r>
      <rPr>
        <sz val="11"/>
        <color theme="1"/>
        <rFont val="DejaVu Sans"/>
        <family val="2"/>
      </rPr>
      <t xml:space="preserve">订阅总数 </t>
    </r>
    <r>
      <rPr>
        <sz val="11"/>
        <color theme="1"/>
        <rFont val="DejaVu Sans"/>
        <family val="2"/>
        <charset val="1"/>
      </rPr>
      <t xml:space="preserve">(M, </t>
    </r>
    <r>
      <rPr>
        <sz val="11"/>
        <color theme="1"/>
        <rFont val="DejaVu Sans"/>
        <family val="2"/>
      </rPr>
      <t xml:space="preserve">含 </t>
    </r>
    <r>
      <rPr>
        <sz val="11"/>
        <color theme="1"/>
        <rFont val="DejaVu Sans"/>
        <family val="2"/>
        <charset val="1"/>
      </rPr>
      <t xml:space="preserve">YT)</t>
    </r>
  </si>
  <si>
    <t xml:space="preserve">325</t>
  </si>
  <si>
    <r>
      <rPr>
        <sz val="11"/>
        <color theme="1"/>
        <rFont val="Calibri"/>
        <family val="2"/>
        <charset val="1"/>
      </rPr>
      <t xml:space="preserve">Q4 25 </t>
    </r>
    <r>
      <rPr>
        <sz val="11"/>
        <color theme="1"/>
        <rFont val="DejaVu Sans"/>
        <family val="2"/>
      </rPr>
      <t xml:space="preserve">数据</t>
    </r>
  </si>
  <si>
    <r>
      <rPr>
        <sz val="11"/>
        <color theme="1"/>
        <rFont val="Calibri"/>
        <family val="2"/>
        <charset val="1"/>
      </rPr>
      <t xml:space="preserve">Gemini App </t>
    </r>
    <r>
      <rPr>
        <sz val="11"/>
        <color theme="1"/>
        <rFont val="DejaVu Sans"/>
        <family val="2"/>
      </rPr>
      <t xml:space="preserve">月活 </t>
    </r>
    <r>
      <rPr>
        <sz val="11"/>
        <color theme="1"/>
        <rFont val="Calibri"/>
        <family val="2"/>
        <charset val="1"/>
      </rPr>
      <t xml:space="preserve">(M)</t>
    </r>
  </si>
  <si>
    <t xml:space="preserve">~400</t>
  </si>
  <si>
    <r>
      <rPr>
        <sz val="11"/>
        <color theme="1"/>
        <rFont val="Calibri"/>
        <family val="2"/>
        <charset val="1"/>
      </rPr>
      <t xml:space="preserve">&lt;350 </t>
    </r>
    <r>
      <rPr>
        <sz val="11"/>
        <color theme="1"/>
        <rFont val="DejaVu Sans"/>
        <family val="2"/>
      </rPr>
      <t xml:space="preserve">警戒</t>
    </r>
  </si>
  <si>
    <r>
      <rPr>
        <sz val="11"/>
        <color theme="1"/>
        <rFont val="DejaVu Sans"/>
        <family val="2"/>
      </rPr>
      <t xml:space="preserve">消费端独立 </t>
    </r>
    <r>
      <rPr>
        <sz val="11"/>
        <color theme="1"/>
        <rFont val="DejaVu Sans"/>
        <family val="2"/>
        <charset val="1"/>
      </rPr>
      <t xml:space="preserve">App</t>
    </r>
  </si>
  <si>
    <r>
      <rPr>
        <sz val="11"/>
        <color theme="1"/>
        <rFont val="Calibri"/>
        <family val="2"/>
        <charset val="1"/>
      </rPr>
      <t xml:space="preserve">Workspace AI ARPU </t>
    </r>
    <r>
      <rPr>
        <sz val="11"/>
        <color theme="1"/>
        <rFont val="DejaVu Sans"/>
        <family val="2"/>
      </rPr>
      <t xml:space="preserve">隐含 </t>
    </r>
    <r>
      <rPr>
        <sz val="11"/>
        <color theme="1"/>
        <rFont val="Calibri"/>
        <family val="2"/>
        <charset val="1"/>
      </rPr>
      <t xml:space="preserve">($/</t>
    </r>
    <r>
      <rPr>
        <sz val="11"/>
        <color theme="1"/>
        <rFont val="DejaVu Sans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)</t>
    </r>
  </si>
  <si>
    <t xml:space="preserve">~12</t>
  </si>
  <si>
    <r>
      <rPr>
        <sz val="11"/>
        <color theme="1"/>
        <rFont val="Calibri"/>
        <family val="2"/>
        <charset val="1"/>
      </rPr>
      <t xml:space="preserve">&lt; 10 </t>
    </r>
    <r>
      <rPr>
        <sz val="11"/>
        <color theme="1"/>
        <rFont val="DejaVu Sans"/>
        <family val="2"/>
      </rPr>
      <t xml:space="preserve">警戒</t>
    </r>
  </si>
  <si>
    <r>
      <rPr>
        <sz val="11"/>
        <color theme="1"/>
        <rFont val="DejaVu Sans"/>
        <family val="2"/>
      </rPr>
      <t xml:space="preserve">内置 </t>
    </r>
    <r>
      <rPr>
        <sz val="11"/>
        <color theme="1"/>
        <rFont val="DejaVu Sans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价值</t>
    </r>
  </si>
  <si>
    <t xml:space="preserve">四、期权业务里程碑</t>
  </si>
  <si>
    <t xml:space="preserve">业务</t>
  </si>
  <si>
    <t xml:space="preserve">关键里程碑</t>
  </si>
  <si>
    <t xml:space="preserve">当前状态</t>
  </si>
  <si>
    <t xml:space="preserve">预期时间</t>
  </si>
  <si>
    <t xml:space="preserve">影响</t>
  </si>
  <si>
    <r>
      <rPr>
        <sz val="11"/>
        <color theme="1"/>
        <rFont val="DejaVu Sans"/>
        <family val="2"/>
      </rPr>
      <t xml:space="preserve">首个 </t>
    </r>
    <r>
      <rPr>
        <sz val="11"/>
        <color theme="1"/>
        <rFont val="DejaVu Sans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设计药物入临床</t>
    </r>
  </si>
  <si>
    <t xml:space="preserve">pre-clinical</t>
  </si>
  <si>
    <t xml:space="preserve">2026 Q4</t>
  </si>
  <si>
    <r>
      <rPr>
        <sz val="11"/>
        <color theme="1"/>
        <rFont val="DejaVu Sans"/>
        <family val="2"/>
      </rPr>
      <t xml:space="preserve">若成功，估值翻 </t>
    </r>
    <r>
      <rPr>
        <sz val="11"/>
        <color theme="1"/>
        <rFont val="DejaVu Sans"/>
        <family val="2"/>
        <charset val="1"/>
      </rPr>
      <t xml:space="preserve">3-5x</t>
    </r>
  </si>
  <si>
    <t xml:space="preserve">Waymo</t>
  </si>
  <si>
    <r>
      <rPr>
        <sz val="11"/>
        <color theme="1"/>
        <rFont val="DejaVu Sans"/>
        <family val="2"/>
      </rPr>
      <t xml:space="preserve">全美扩张到 </t>
    </r>
    <r>
      <rPr>
        <sz val="11"/>
        <color theme="1"/>
        <rFont val="DejaVu Sans"/>
        <family val="2"/>
        <charset val="1"/>
      </rPr>
      <t xml:space="preserve">20+ </t>
    </r>
    <r>
      <rPr>
        <sz val="11"/>
        <color theme="1"/>
        <rFont val="DejaVu Sans"/>
        <family val="2"/>
      </rPr>
      <t xml:space="preserve">城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</si>
  <si>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城运营</t>
    </r>
  </si>
  <si>
    <t xml:space="preserve">2027</t>
  </si>
  <si>
    <r>
      <rPr>
        <sz val="11"/>
        <color theme="1"/>
        <rFont val="DejaVu Sans"/>
        <family val="2"/>
      </rPr>
      <t xml:space="preserve">估值锚从 </t>
    </r>
    <r>
      <rPr>
        <sz val="11"/>
        <color theme="1"/>
        <rFont val="DejaVu Sans"/>
        <family val="2"/>
        <charset val="1"/>
      </rPr>
      <t xml:space="preserve">$40B </t>
    </r>
    <r>
      <rPr>
        <sz val="11"/>
        <color theme="1"/>
        <rFont val="DejaVu Sans"/>
        <family val="2"/>
      </rPr>
      <t xml:space="preserve">升至 </t>
    </r>
    <r>
      <rPr>
        <sz val="11"/>
        <color theme="1"/>
        <rFont val="DejaVu Sans"/>
        <family val="2"/>
        <charset val="1"/>
      </rPr>
      <t xml:space="preserve">$80B+</t>
    </r>
  </si>
  <si>
    <t xml:space="preserve">Gemini 4</t>
  </si>
  <si>
    <r>
      <rPr>
        <sz val="11"/>
        <color theme="1"/>
        <rFont val="DejaVu Sans"/>
        <family val="2"/>
      </rPr>
      <t xml:space="preserve">推理 </t>
    </r>
    <r>
      <rPr>
        <sz val="11"/>
        <color theme="1"/>
        <rFont val="DejaVu Sans"/>
        <family val="2"/>
        <charset val="1"/>
      </rPr>
      <t xml:space="preserve">+ agentic </t>
    </r>
    <r>
      <rPr>
        <sz val="11"/>
        <color theme="1"/>
        <rFont val="DejaVu Sans"/>
        <family val="2"/>
      </rPr>
      <t xml:space="preserve">能力追赶 </t>
    </r>
    <r>
      <rPr>
        <sz val="11"/>
        <color theme="1"/>
        <rFont val="DejaVu Sans"/>
        <family val="2"/>
        <charset val="1"/>
      </rPr>
      <t xml:space="preserve">GPT-5</t>
    </r>
  </si>
  <si>
    <t xml:space="preserve">研发中</t>
  </si>
  <si>
    <t xml:space="preserve">2026 H2</t>
  </si>
  <si>
    <r>
      <rPr>
        <sz val="11"/>
        <color theme="1"/>
        <rFont val="DejaVu Sans"/>
        <family val="2"/>
      </rPr>
      <t xml:space="preserve">如果落后，</t>
    </r>
    <r>
      <rPr>
        <sz val="11"/>
        <color theme="1"/>
        <rFont val="DejaVu Sans"/>
        <family val="2"/>
        <charset val="1"/>
      </rPr>
      <t xml:space="preserve">Cloud AI </t>
    </r>
    <r>
      <rPr>
        <sz val="11"/>
        <color theme="1"/>
        <rFont val="DejaVu Sans"/>
        <family val="2"/>
      </rPr>
      <t xml:space="preserve">倍数压缩</t>
    </r>
  </si>
  <si>
    <t xml:space="preserve">Project Astra</t>
  </si>
  <si>
    <t xml:space="preserve">消费版正式上线</t>
  </si>
  <si>
    <t xml:space="preserve">内测</t>
  </si>
  <si>
    <r>
      <rPr>
        <sz val="11"/>
        <color theme="1"/>
        <rFont val="DejaVu Sans"/>
        <family val="2"/>
      </rPr>
      <t xml:space="preserve">可能取代 </t>
    </r>
    <r>
      <rPr>
        <sz val="11"/>
        <color theme="1"/>
        <rFont val="DejaVu Sans"/>
        <family val="2"/>
        <charset val="1"/>
      </rPr>
      <t xml:space="preserve">Gemini App</t>
    </r>
  </si>
  <si>
    <t xml:space="preserve">TPU v8</t>
  </si>
  <si>
    <t xml:space="preserve">量产，进一步提升训练效率</t>
  </si>
  <si>
    <t xml:space="preserve">设计完成</t>
  </si>
  <si>
    <r>
      <rPr>
        <sz val="11"/>
        <color theme="1"/>
        <rFont val="DejaVu Sans"/>
        <family val="2"/>
      </rPr>
      <t xml:space="preserve">强化 </t>
    </r>
    <r>
      <rPr>
        <sz val="11"/>
        <color theme="1"/>
        <rFont val="DejaVu Sans"/>
        <family val="2"/>
        <charset val="1"/>
      </rPr>
      <t xml:space="preserve">Cloud </t>
    </r>
    <r>
      <rPr>
        <sz val="11"/>
        <color theme="1"/>
        <rFont val="DejaVu Sans"/>
        <family val="2"/>
      </rPr>
      <t xml:space="preserve">成本优势</t>
    </r>
  </si>
  <si>
    <t xml:space="preserve">五、使用方法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</si>
  <si>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DejaVu Sans"/>
        <family val="2"/>
      </rPr>
      <t xml:space="preserve">每季度 </t>
    </r>
    <r>
      <rPr>
        <sz val="11"/>
        <color theme="1"/>
        <rFont val="Calibri"/>
        <family val="2"/>
        <charset val="1"/>
      </rPr>
      <t xml:space="preserve">GOOG </t>
    </r>
    <r>
      <rPr>
        <sz val="11"/>
        <color theme="1"/>
        <rFont val="DejaVu Sans"/>
        <family val="2"/>
      </rPr>
      <t xml:space="preserve">财报当天填入 </t>
    </r>
    <r>
      <rPr>
        <sz val="11"/>
        <color theme="1"/>
        <rFont val="Calibri"/>
        <family val="2"/>
        <charset val="1"/>
      </rPr>
      <t xml:space="preserve">C-F </t>
    </r>
    <r>
      <rPr>
        <sz val="11"/>
        <color theme="1"/>
        <rFont val="DejaVu Sans"/>
        <family val="2"/>
      </rPr>
      <t xml:space="preserve">列对应季度数据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</si>
  <si>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DejaVu Sans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KPI </t>
    </r>
    <r>
      <rPr>
        <sz val="11"/>
        <color theme="1"/>
        <rFont val="DejaVu Sans"/>
        <family val="2"/>
      </rPr>
      <t xml:space="preserve">触及警戒阈值，反向调整 </t>
    </r>
    <r>
      <rPr>
        <sz val="11"/>
        <color theme="1"/>
        <rFont val="Calibri"/>
        <family val="2"/>
        <charset val="1"/>
      </rPr>
      <t xml:space="preserve">Sheet 1 </t>
    </r>
    <r>
      <rPr>
        <sz val="11"/>
        <color theme="1"/>
        <rFont val="DejaVu Sans"/>
        <family val="2"/>
      </rPr>
      <t xml:space="preserve">对应业务的 </t>
    </r>
    <r>
      <rPr>
        <sz val="11"/>
        <color theme="1"/>
        <rFont val="Calibri"/>
        <family val="2"/>
        <charset val="1"/>
      </rPr>
      <t xml:space="preserve">CAGR </t>
    </r>
    <r>
      <rPr>
        <sz val="11"/>
        <color theme="1"/>
        <rFont val="DejaVu Sans"/>
        <family val="2"/>
      </rPr>
      <t xml:space="preserve">假设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</si>
  <si>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DejaVu Sans"/>
        <family val="2"/>
      </rPr>
      <t xml:space="preserve">重大里程碑达成（成功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失败），调整 </t>
    </r>
    <r>
      <rPr>
        <sz val="11"/>
        <color theme="1"/>
        <rFont val="Calibri"/>
        <family val="2"/>
        <charset val="1"/>
      </rPr>
      <t xml:space="preserve">Sheet 6 </t>
    </r>
    <r>
      <rPr>
        <sz val="11"/>
        <color theme="1"/>
        <rFont val="DejaVu Sans"/>
        <family val="2"/>
      </rPr>
      <t xml:space="preserve">期权概率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</si>
  <si>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DejaVu Sans"/>
        <family val="2"/>
      </rPr>
      <t xml:space="preserve">不要每周更新 — 季度颗粒度足够，避免 </t>
    </r>
    <r>
      <rPr>
        <sz val="11"/>
        <color theme="1"/>
        <rFont val="Calibri"/>
        <family val="2"/>
        <charset val="1"/>
      </rPr>
      <t xml:space="preserve">noise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</si>
</sst>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"/>
    <numFmt numFmtId="166" formatCode="0.00"/>
    <numFmt numFmtId="167" formatCode="\$#,##0"/>
    <numFmt numFmtId="168" formatCode="0.0%"/>
    <numFmt numFmtId="169" formatCode="0.00%"/>
    <numFmt numFmtId="170" formatCode="0.0\x"/>
    <numFmt numFmtId="171" formatCode="0%"/>
    <numFmt numFmtId="172" formatCode="\+0%;\-0%"/>
    <numFmt numFmtId="173" formatCode="\+0.0%;\-0.0%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DejaVu Sans"/>
      <family val="2"/>
    </font>
    <font>
      <i val="true"/>
      <sz val="9"/>
      <color rgb="FF666666"/>
      <name val="DejaVu Sans"/>
      <family val="2"/>
    </font>
    <font>
      <i val="true"/>
      <sz val="9"/>
      <color rgb="FF666666"/>
      <name val="DejaVu Sans"/>
      <family val="2"/>
      <charset val="1"/>
    </font>
    <font>
      <b val="true"/>
      <sz val="11"/>
      <color rgb="FFFFFFFF"/>
      <name val="DejaVu Sans"/>
      <family val="2"/>
    </font>
    <font>
      <b val="true"/>
      <sz val="10"/>
      <name val="DejaVu Sans"/>
      <family val="2"/>
    </font>
    <font>
      <b val="true"/>
      <sz val="10"/>
      <name val="DejaVu Sans"/>
      <family val="2"/>
      <charset val="1"/>
    </font>
    <font>
      <b val="true"/>
      <sz val="10"/>
      <color rgb="FF0000FF"/>
      <name val="Arial"/>
      <family val="2"/>
      <charset val="1"/>
    </font>
    <font>
      <sz val="11"/>
      <color theme="1"/>
      <name val="DejaVu Sans"/>
      <family val="2"/>
    </font>
    <font>
      <i val="true"/>
      <sz val="9"/>
      <color rgb="FF666666"/>
      <name val="Arial"/>
      <family val="2"/>
      <charset val="1"/>
    </font>
    <font>
      <sz val="10"/>
      <name val="Arial"/>
      <family val="2"/>
      <charset val="1"/>
    </font>
    <font>
      <sz val="11"/>
      <color theme="1"/>
      <name val="DejaVu Sans"/>
      <family val="2"/>
      <charset val="1"/>
    </font>
    <font>
      <b val="true"/>
      <sz val="11"/>
      <color rgb="FF1F4E79"/>
      <name val="Cambria"/>
      <family val="0"/>
      <charset val="1"/>
    </font>
    <font>
      <b val="true"/>
      <sz val="11"/>
      <color rgb="FFFFFFFF"/>
      <name val="DejaVu Sans"/>
      <family val="2"/>
      <charset val="1"/>
    </font>
    <font>
      <b val="true"/>
      <sz val="11"/>
      <name val="DejaVu Sans"/>
      <family val="2"/>
    </font>
    <font>
      <b val="true"/>
      <sz val="11"/>
      <name val="DejaVu Sans"/>
      <family val="2"/>
      <charset val="1"/>
    </font>
    <font>
      <b val="true"/>
      <sz val="11"/>
      <name val="Cambria"/>
      <family val="0"/>
      <charset val="1"/>
    </font>
    <font>
      <b val="true"/>
      <sz val="10"/>
      <name val="Arial"/>
      <family val="2"/>
      <charset val="1"/>
    </font>
    <font>
      <b val="true"/>
      <sz val="12"/>
      <name val="DejaVu Sans"/>
      <family val="2"/>
    </font>
    <font>
      <b val="true"/>
      <sz val="14"/>
      <name val="Cambria"/>
      <family val="0"/>
      <charset val="1"/>
    </font>
    <font>
      <i val="true"/>
      <sz val="11"/>
      <color rgb="FF808080"/>
      <name val="DejaVu Sans"/>
      <family val="2"/>
    </font>
    <font>
      <i val="true"/>
      <sz val="11"/>
      <color rgb="FF808080"/>
      <name val="DejaVu Sans"/>
      <family val="2"/>
      <charset val="1"/>
    </font>
    <font>
      <b val="true"/>
      <sz val="11"/>
      <color rgb="FFB22222"/>
      <name val="Cambria"/>
      <family val="0"/>
      <charset val="1"/>
    </font>
    <font>
      <b val="true"/>
      <sz val="11"/>
      <color rgb="FFB22222"/>
      <name val="DejaVu Sans"/>
      <family val="2"/>
    </font>
    <font>
      <b val="true"/>
      <sz val="11"/>
      <color rgb="FF1F4E79"/>
      <name val="DejaVu Sans"/>
      <family val="2"/>
    </font>
    <font>
      <b val="true"/>
      <sz val="11"/>
      <color rgb="FF2E7D32"/>
      <name val="Cambria"/>
      <family val="0"/>
      <charset val="1"/>
    </font>
    <font>
      <b val="true"/>
      <sz val="11"/>
      <color rgb="FF2E7D32"/>
      <name val="DejaVu Sans"/>
      <family val="2"/>
    </font>
    <font>
      <b val="true"/>
      <sz val="12"/>
      <name val="Cambria"/>
      <family val="0"/>
      <charset val="1"/>
    </font>
    <font>
      <b val="true"/>
      <sz val="12"/>
      <color rgb="FF2E7D32"/>
      <name val="DejaVu Sans"/>
      <family val="2"/>
    </font>
    <font>
      <b val="true"/>
      <sz val="12"/>
      <color rgb="FF2E7D32"/>
      <name val="DejaVu Sans"/>
      <family val="2"/>
      <charset val="1"/>
    </font>
    <font>
      <i val="true"/>
      <sz val="11"/>
      <color rgb="FF808080"/>
      <name val="Cambria"/>
      <family val="0"/>
      <charset val="1"/>
    </font>
    <font>
      <sz val="10"/>
      <name val="DejaVu Sans"/>
      <family val="2"/>
    </font>
    <font>
      <b val="true"/>
      <sz val="10"/>
      <color rgb="FF006100"/>
      <name val="Arial"/>
      <family val="2"/>
      <charset val="1"/>
    </font>
    <font>
      <b val="true"/>
      <sz val="10"/>
      <color rgb="FF006100"/>
      <name val="DejaVu Sans"/>
      <family val="2"/>
    </font>
    <font>
      <sz val="10"/>
      <name val="DejaVu Sans"/>
      <family val="2"/>
      <charset val="1"/>
    </font>
    <font>
      <b val="true"/>
      <sz val="14"/>
      <color rgb="FF006100"/>
      <name val="DejaVu Sans"/>
      <family val="2"/>
    </font>
    <font>
      <b val="true"/>
      <sz val="14"/>
      <name val="DejaVu Sans"/>
      <family val="2"/>
      <charset val="1"/>
    </font>
    <font>
      <b val="true"/>
      <sz val="14"/>
      <color rgb="FF2E7D32"/>
      <name val="DejaVu Sans"/>
      <family val="2"/>
    </font>
    <font>
      <b val="true"/>
      <sz val="14"/>
      <color rgb="FF2E7D32"/>
      <name val="DejaVu Sans"/>
      <family val="2"/>
      <charset val="1"/>
    </font>
    <font>
      <b val="true"/>
      <sz val="14"/>
      <color rgb="FF2E7D32"/>
      <name val="Cambria"/>
      <family val="0"/>
      <charset val="1"/>
    </font>
    <font>
      <b val="true"/>
      <sz val="12"/>
      <color rgb="FF1F4E79"/>
      <name val="DejaVu Sans"/>
      <family val="2"/>
    </font>
    <font>
      <b val="true"/>
      <sz val="12"/>
      <color rgb="FF1F4E79"/>
      <name val="DejaVu Sans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305496"/>
        <bgColor rgb="FF1F4E79"/>
      </patternFill>
    </fill>
    <fill>
      <patternFill patternType="solid">
        <fgColor rgb="FFDDEBF7"/>
        <bgColor rgb="FFDEEBF7"/>
      </patternFill>
    </fill>
    <fill>
      <patternFill patternType="solid">
        <fgColor rgb="FFDEEBF7"/>
        <bgColor rgb="FFDDEBF7"/>
      </patternFill>
    </fill>
    <fill>
      <patternFill patternType="solid">
        <fgColor rgb="FFE0E0E0"/>
        <bgColor rgb="FFD9E1F2"/>
      </patternFill>
    </fill>
    <fill>
      <patternFill patternType="solid">
        <fgColor rgb="FFD9E1F2"/>
        <bgColor rgb="FFE0E0E0"/>
      </patternFill>
    </fill>
    <fill>
      <patternFill patternType="solid">
        <fgColor rgb="FFFFF2CC"/>
        <bgColor rgb="FFFFE6E6"/>
      </patternFill>
    </fill>
    <fill>
      <patternFill patternType="solid">
        <fgColor rgb="FFE8F5E9"/>
        <bgColor rgb="FFE2EFDA"/>
      </patternFill>
    </fill>
    <fill>
      <patternFill patternType="solid">
        <fgColor rgb="FFFFD966"/>
        <bgColor rgb="FFFFE699"/>
      </patternFill>
    </fill>
    <fill>
      <patternFill patternType="solid">
        <fgColor rgb="FFFFE6E6"/>
        <bgColor rgb="FFFFF2CC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E8F5E9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8F5E9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6EFCE"/>
      <rgbColor rgb="FFFFE699"/>
      <rgbColor rgb="FFE0E0E0"/>
      <rgbColor rgb="FFFFE6E6"/>
      <rgbColor rgb="FFE2EFDA"/>
      <rgbColor rgb="FFFFD96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79"/>
      <rgbColor rgb="FF2E7D32"/>
      <rgbColor rgb="FF003300"/>
      <rgbColor rgb="FF333300"/>
      <rgbColor rgb="FFB22222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5"/>
    <col collapsed="false" customWidth="true" hidden="false" outlineLevel="0" max="6" min="3" style="1" width="14"/>
    <col collapsed="false" customWidth="true" hidden="false" outlineLevel="0" max="7" min="7" style="1" width="55"/>
  </cols>
  <sheetData>
    <row r="2" customFormat="false" ht="18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  <c r="H5" s="4"/>
    </row>
    <row r="7" customFormat="false" ht="15" hidden="false" customHeight="true" outlineLevel="0" collapsed="false">
      <c r="B7" s="5" t="s">
        <v>3</v>
      </c>
      <c r="C7" s="6" t="n">
        <v>395</v>
      </c>
      <c r="D7" s="7" t="s">
        <v>4</v>
      </c>
      <c r="G7" s="1" t="s">
        <v>5</v>
      </c>
    </row>
    <row r="8" customFormat="false" ht="15" hidden="false" customHeight="true" outlineLevel="0" collapsed="false">
      <c r="B8" s="5" t="s">
        <v>6</v>
      </c>
      <c r="C8" s="8" t="n">
        <v>12.116</v>
      </c>
      <c r="D8" s="9" t="s">
        <v>7</v>
      </c>
      <c r="G8" s="1" t="s">
        <v>8</v>
      </c>
    </row>
    <row r="9" customFormat="false" ht="15" hidden="false" customHeight="true" outlineLevel="0" collapsed="false">
      <c r="B9" s="5" t="s">
        <v>9</v>
      </c>
      <c r="C9" s="10" t="n">
        <f aca="false">C7*C8</f>
        <v>4785.82</v>
      </c>
      <c r="D9" s="7" t="s">
        <v>10</v>
      </c>
      <c r="G9" s="11" t="s">
        <v>11</v>
      </c>
    </row>
    <row r="10" customFormat="false" ht="15" hidden="false" customHeight="true" outlineLevel="0" collapsed="false">
      <c r="B10" s="5" t="s">
        <v>12</v>
      </c>
      <c r="C10" s="12" t="n">
        <v>0.1</v>
      </c>
      <c r="D10" s="7" t="s">
        <v>13</v>
      </c>
      <c r="G10" s="11" t="s">
        <v>14</v>
      </c>
    </row>
    <row r="11" customFormat="false" ht="15" hidden="false" customHeight="true" outlineLevel="0" collapsed="false">
      <c r="B11" s="5" t="s">
        <v>15</v>
      </c>
      <c r="C11" s="13" t="n">
        <v>0.0023</v>
      </c>
      <c r="D11" s="7" t="s">
        <v>16</v>
      </c>
      <c r="G11" s="1" t="s">
        <v>17</v>
      </c>
    </row>
    <row r="12" customFormat="false" ht="15" hidden="false" customHeight="true" outlineLevel="0" collapsed="false">
      <c r="B12" s="11" t="s">
        <v>18</v>
      </c>
      <c r="C12" s="14" t="n">
        <v>0.02</v>
      </c>
      <c r="D12" s="11" t="s">
        <v>19</v>
      </c>
      <c r="G12" s="11" t="s">
        <v>20</v>
      </c>
    </row>
    <row r="13" customFormat="false" ht="15" hidden="false" customHeight="true" outlineLevel="0" collapsed="false">
      <c r="B13" s="4" t="s">
        <v>21</v>
      </c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G14" s="15" t="s">
        <v>22</v>
      </c>
    </row>
    <row r="15" customFormat="false" ht="15" hidden="false" customHeight="true" outlineLevel="0" collapsed="false">
      <c r="B15" s="16" t="s">
        <v>23</v>
      </c>
      <c r="C15" s="17" t="s">
        <v>24</v>
      </c>
      <c r="D15" s="16" t="s">
        <v>25</v>
      </c>
      <c r="G15" s="18" t="s">
        <v>26</v>
      </c>
    </row>
    <row r="16" customFormat="false" ht="15" hidden="false" customHeight="true" outlineLevel="0" collapsed="false">
      <c r="B16" s="19" t="s">
        <v>27</v>
      </c>
      <c r="C16" s="20" t="n">
        <v>200</v>
      </c>
      <c r="D16" s="21" t="s">
        <v>28</v>
      </c>
      <c r="F16" s="11"/>
      <c r="G16" s="1" t="s">
        <v>29</v>
      </c>
    </row>
    <row r="17" customFormat="false" ht="15" hidden="false" customHeight="true" outlineLevel="0" collapsed="false">
      <c r="B17" s="19" t="s">
        <v>30</v>
      </c>
      <c r="C17" s="20" t="n">
        <v>26</v>
      </c>
      <c r="D17" s="22" t="s">
        <v>31</v>
      </c>
      <c r="G17" s="1" t="s">
        <v>29</v>
      </c>
    </row>
    <row r="18" customFormat="false" ht="15" hidden="false" customHeight="true" outlineLevel="0" collapsed="false">
      <c r="B18" s="19" t="s">
        <v>32</v>
      </c>
      <c r="C18" s="20" t="n">
        <v>40</v>
      </c>
      <c r="D18" s="23" t="s">
        <v>33</v>
      </c>
      <c r="F18" s="11"/>
      <c r="G18" s="1" t="s">
        <v>29</v>
      </c>
    </row>
    <row r="19" customFormat="false" ht="15" hidden="false" customHeight="true" outlineLevel="0" collapsed="false">
      <c r="B19" s="19" t="s">
        <v>34</v>
      </c>
      <c r="C19" s="20" t="n">
        <v>28</v>
      </c>
      <c r="D19" s="22" t="s">
        <v>35</v>
      </c>
      <c r="G19" s="1" t="s">
        <v>29</v>
      </c>
    </row>
    <row r="20" customFormat="false" ht="15" hidden="false" customHeight="true" outlineLevel="0" collapsed="false">
      <c r="B20" s="19" t="s">
        <v>36</v>
      </c>
      <c r="C20" s="20" t="n">
        <v>47</v>
      </c>
      <c r="D20" s="22" t="s">
        <v>37</v>
      </c>
      <c r="G20" s="1" t="s">
        <v>29</v>
      </c>
    </row>
    <row r="21" customFormat="false" ht="15" hidden="false" customHeight="true" outlineLevel="0" collapsed="false">
      <c r="B21" s="19" t="s">
        <v>38</v>
      </c>
      <c r="C21" s="20" t="n">
        <v>34.5</v>
      </c>
      <c r="D21" s="21" t="s">
        <v>39</v>
      </c>
      <c r="G21" s="1" t="s">
        <v>29</v>
      </c>
    </row>
    <row r="22" customFormat="false" ht="15" hidden="false" customHeight="true" outlineLevel="0" collapsed="false">
      <c r="B22" s="24" t="s">
        <v>40</v>
      </c>
      <c r="C22" s="25" t="n">
        <v>23.5</v>
      </c>
      <c r="D22" s="23" t="s">
        <v>41</v>
      </c>
      <c r="G22" s="1" t="s">
        <v>29</v>
      </c>
    </row>
    <row r="23" customFormat="false" ht="15" hidden="false" customHeight="true" outlineLevel="0" collapsed="false">
      <c r="B23" s="26" t="s">
        <v>42</v>
      </c>
      <c r="C23" s="27" t="n">
        <v>2</v>
      </c>
      <c r="D23" s="28" t="s">
        <v>43</v>
      </c>
      <c r="G23" s="1" t="s">
        <v>29</v>
      </c>
    </row>
    <row r="24" customFormat="false" ht="15" hidden="false" customHeight="true" outlineLevel="0" collapsed="false">
      <c r="B24" s="15" t="s">
        <v>44</v>
      </c>
      <c r="C24" s="15" t="n">
        <v>401</v>
      </c>
      <c r="D24" s="1" t="s">
        <v>45</v>
      </c>
    </row>
    <row r="25" customFormat="false" ht="15" hidden="false" customHeight="true" outlineLevel="0" collapsed="false">
      <c r="B25" s="4" t="s">
        <v>46</v>
      </c>
      <c r="C25" s="4"/>
      <c r="D25" s="4"/>
      <c r="E25" s="4"/>
      <c r="F25" s="4"/>
      <c r="G25" s="4"/>
      <c r="H25" s="4"/>
    </row>
    <row r="27" customFormat="false" ht="15" hidden="false" customHeight="true" outlineLevel="0" collapsed="false">
      <c r="B27" s="16" t="s">
        <v>23</v>
      </c>
      <c r="C27" s="17" t="s">
        <v>47</v>
      </c>
      <c r="D27" s="17" t="s">
        <v>48</v>
      </c>
      <c r="E27" s="17" t="s">
        <v>49</v>
      </c>
      <c r="F27" s="16" t="s">
        <v>25</v>
      </c>
      <c r="G27" s="18" t="s">
        <v>50</v>
      </c>
    </row>
    <row r="28" customFormat="false" ht="15" hidden="false" customHeight="true" outlineLevel="0" collapsed="false">
      <c r="B28" s="19" t="s">
        <v>27</v>
      </c>
      <c r="C28" s="12" t="n">
        <v>0.03</v>
      </c>
      <c r="D28" s="12" t="n">
        <v>0.05</v>
      </c>
      <c r="E28" s="12" t="n">
        <v>0.07</v>
      </c>
      <c r="F28" s="21" t="s">
        <v>28</v>
      </c>
      <c r="G28" s="29" t="s">
        <v>51</v>
      </c>
    </row>
    <row r="29" customFormat="false" ht="15" hidden="false" customHeight="true" outlineLevel="0" collapsed="false">
      <c r="B29" s="19" t="s">
        <v>30</v>
      </c>
      <c r="C29" s="12" t="n">
        <v>0.3</v>
      </c>
      <c r="D29" s="12" t="n">
        <v>0.4</v>
      </c>
      <c r="E29" s="12" t="n">
        <v>0.55</v>
      </c>
      <c r="F29" s="22" t="s">
        <v>31</v>
      </c>
      <c r="G29" s="29" t="s">
        <v>51</v>
      </c>
    </row>
    <row r="30" customFormat="false" ht="15" hidden="false" customHeight="true" outlineLevel="0" collapsed="false">
      <c r="B30" s="19" t="s">
        <v>32</v>
      </c>
      <c r="C30" s="12" t="n">
        <v>0.06</v>
      </c>
      <c r="D30" s="12" t="n">
        <v>0.1</v>
      </c>
      <c r="E30" s="12" t="n">
        <v>0.14</v>
      </c>
      <c r="F30" s="23" t="s">
        <v>33</v>
      </c>
      <c r="G30" s="29" t="s">
        <v>51</v>
      </c>
    </row>
    <row r="31" customFormat="false" ht="15" hidden="false" customHeight="true" outlineLevel="0" collapsed="false">
      <c r="B31" s="19" t="s">
        <v>34</v>
      </c>
      <c r="C31" s="12" t="n">
        <v>-0.03</v>
      </c>
      <c r="D31" s="12" t="n">
        <v>-0.01</v>
      </c>
      <c r="E31" s="12" t="n">
        <v>0.02</v>
      </c>
      <c r="F31" s="23" t="s">
        <v>35</v>
      </c>
      <c r="G31" s="29" t="s">
        <v>51</v>
      </c>
    </row>
    <row r="32" customFormat="false" ht="15" hidden="false" customHeight="true" outlineLevel="0" collapsed="false">
      <c r="B32" s="19" t="s">
        <v>36</v>
      </c>
      <c r="C32" s="12" t="n">
        <v>0.1</v>
      </c>
      <c r="D32" s="12" t="n">
        <v>0.15</v>
      </c>
      <c r="E32" s="12" t="n">
        <v>0.2</v>
      </c>
      <c r="F32" s="22" t="s">
        <v>37</v>
      </c>
      <c r="G32" s="29" t="s">
        <v>51</v>
      </c>
    </row>
    <row r="33" customFormat="false" ht="15" hidden="false" customHeight="true" outlineLevel="0" collapsed="false">
      <c r="B33" s="19" t="s">
        <v>38</v>
      </c>
      <c r="C33" s="12" t="n">
        <v>0.08</v>
      </c>
      <c r="D33" s="12" t="n">
        <v>0.12</v>
      </c>
      <c r="E33" s="12" t="n">
        <v>0.16</v>
      </c>
      <c r="F33" s="21" t="s">
        <v>39</v>
      </c>
      <c r="G33" s="29" t="s">
        <v>51</v>
      </c>
    </row>
    <row r="34" customFormat="false" ht="15" hidden="false" customHeight="true" outlineLevel="0" collapsed="false">
      <c r="B34" s="19" t="s">
        <v>40</v>
      </c>
      <c r="C34" s="12" t="n">
        <v>0.3</v>
      </c>
      <c r="D34" s="12" t="n">
        <v>0.4</v>
      </c>
      <c r="E34" s="12" t="n">
        <v>0.5</v>
      </c>
      <c r="F34" s="23" t="s">
        <v>41</v>
      </c>
      <c r="G34" s="1" t="s">
        <v>52</v>
      </c>
    </row>
    <row r="35" customFormat="false" ht="15" hidden="false" customHeight="true" outlineLevel="0" collapsed="false">
      <c r="B35" s="1" t="s">
        <v>42</v>
      </c>
      <c r="C35" s="1" t="n">
        <v>0.3</v>
      </c>
      <c r="D35" s="1" t="n">
        <v>0.5</v>
      </c>
      <c r="E35" s="1" t="n">
        <v>0.8</v>
      </c>
      <c r="F35" s="1" t="s">
        <v>43</v>
      </c>
      <c r="G35" s="1" t="s">
        <v>52</v>
      </c>
    </row>
    <row r="36" customFormat="false" ht="15" hidden="false" customHeight="true" outlineLevel="0" collapsed="false">
      <c r="B36" s="4" t="s">
        <v>53</v>
      </c>
      <c r="C36" s="4"/>
      <c r="D36" s="4"/>
      <c r="E36" s="4"/>
      <c r="F36" s="4"/>
      <c r="G36" s="4"/>
      <c r="H36" s="4"/>
    </row>
    <row r="37" customFormat="false" ht="15" hidden="false" customHeight="true" outlineLevel="0" collapsed="false">
      <c r="B37" s="3" t="s">
        <v>54</v>
      </c>
      <c r="C37" s="3"/>
      <c r="D37" s="3"/>
      <c r="E37" s="3"/>
      <c r="F37" s="3"/>
      <c r="G37" s="3"/>
      <c r="H37" s="3"/>
    </row>
    <row r="38" customFormat="false" ht="15" hidden="false" customHeight="true" outlineLevel="0" collapsed="false">
      <c r="B38" s="16" t="s">
        <v>23</v>
      </c>
      <c r="C38" s="16" t="s">
        <v>55</v>
      </c>
      <c r="D38" s="16" t="s">
        <v>56</v>
      </c>
      <c r="E38" s="16" t="s">
        <v>57</v>
      </c>
    </row>
    <row r="39" customFormat="false" ht="15" hidden="false" customHeight="true" outlineLevel="0" collapsed="false">
      <c r="B39" s="19" t="s">
        <v>27</v>
      </c>
      <c r="C39" s="30" t="n">
        <v>5</v>
      </c>
      <c r="D39" s="31" t="s">
        <v>58</v>
      </c>
      <c r="E39" s="21" t="s">
        <v>59</v>
      </c>
    </row>
    <row r="40" customFormat="false" ht="15" hidden="false" customHeight="true" outlineLevel="0" collapsed="false">
      <c r="B40" s="19" t="s">
        <v>30</v>
      </c>
      <c r="C40" s="30" t="n">
        <v>8</v>
      </c>
      <c r="D40" s="31" t="s">
        <v>60</v>
      </c>
      <c r="E40" s="21" t="s">
        <v>61</v>
      </c>
    </row>
    <row r="41" customFormat="false" ht="15" hidden="false" customHeight="true" outlineLevel="0" collapsed="false">
      <c r="B41" s="19" t="s">
        <v>32</v>
      </c>
      <c r="C41" s="30" t="n">
        <v>5.5</v>
      </c>
      <c r="D41" s="31" t="s">
        <v>62</v>
      </c>
      <c r="E41" s="22" t="s">
        <v>63</v>
      </c>
    </row>
    <row r="42" customFormat="false" ht="15" hidden="false" customHeight="true" outlineLevel="0" collapsed="false">
      <c r="B42" s="19" t="s">
        <v>34</v>
      </c>
      <c r="C42" s="30" t="n">
        <v>3.5</v>
      </c>
      <c r="D42" s="31" t="s">
        <v>64</v>
      </c>
      <c r="E42" s="21" t="s">
        <v>65</v>
      </c>
    </row>
    <row r="43" customFormat="false" ht="15" hidden="false" customHeight="true" outlineLevel="0" collapsed="false">
      <c r="B43" s="19" t="s">
        <v>36</v>
      </c>
      <c r="C43" s="30" t="n">
        <v>6</v>
      </c>
      <c r="D43" s="31" t="s">
        <v>66</v>
      </c>
      <c r="E43" s="23" t="s">
        <v>67</v>
      </c>
    </row>
    <row r="44" customFormat="false" ht="15" hidden="false" customHeight="true" outlineLevel="0" collapsed="false">
      <c r="B44" s="19" t="s">
        <v>38</v>
      </c>
      <c r="C44" s="30" t="n">
        <v>5</v>
      </c>
      <c r="D44" s="31" t="s">
        <v>68</v>
      </c>
      <c r="E44" s="22" t="s">
        <v>69</v>
      </c>
    </row>
    <row r="45" customFormat="false" ht="15" hidden="false" customHeight="true" outlineLevel="0" collapsed="false">
      <c r="B45" s="19" t="s">
        <v>40</v>
      </c>
      <c r="C45" s="30" t="n">
        <v>12</v>
      </c>
      <c r="D45" s="31" t="s">
        <v>70</v>
      </c>
      <c r="E45" s="22" t="s">
        <v>71</v>
      </c>
    </row>
    <row r="46" customFormat="false" ht="15" hidden="false" customHeight="true" outlineLevel="0" collapsed="false">
      <c r="B46" s="1" t="s">
        <v>42</v>
      </c>
      <c r="C46" s="1" t="n">
        <v>5</v>
      </c>
      <c r="D46" s="1" t="s">
        <v>72</v>
      </c>
    </row>
    <row r="47" customFormat="false" ht="15" hidden="false" customHeight="true" outlineLevel="0" collapsed="false">
      <c r="B47" s="4" t="s">
        <v>73</v>
      </c>
      <c r="C47" s="4"/>
      <c r="D47" s="4"/>
      <c r="E47" s="4"/>
      <c r="F47" s="4"/>
      <c r="G47" s="4"/>
      <c r="H47" s="4"/>
    </row>
    <row r="48" customFormat="false" ht="15" hidden="false" customHeight="true" outlineLevel="0" collapsed="false">
      <c r="C48" s="32" t="s">
        <v>74</v>
      </c>
      <c r="D48" s="32" t="s">
        <v>75</v>
      </c>
      <c r="E48" s="32" t="s">
        <v>76</v>
      </c>
      <c r="F48" s="33" t="s">
        <v>44</v>
      </c>
    </row>
    <row r="49" customFormat="false" ht="15" hidden="false" customHeight="true" outlineLevel="0" collapsed="false">
      <c r="B49" s="34" t="s">
        <v>77</v>
      </c>
      <c r="C49" s="35" t="n">
        <v>0.25</v>
      </c>
      <c r="D49" s="35" t="n">
        <v>0.45</v>
      </c>
      <c r="E49" s="35" t="n">
        <v>0.3</v>
      </c>
      <c r="F49" s="36" t="n">
        <f aca="false">C49+D49+E49</f>
        <v>1</v>
      </c>
    </row>
    <row r="52" customFormat="false" ht="15" hidden="false" customHeight="true" outlineLevel="0" collapsed="false">
      <c r="B52" s="4" t="s">
        <v>78</v>
      </c>
      <c r="C52" s="4"/>
      <c r="D52" s="4"/>
      <c r="E52" s="4"/>
      <c r="F52" s="4"/>
      <c r="G52" s="4"/>
      <c r="H52" s="4"/>
    </row>
    <row r="53" customFormat="false" ht="15" hidden="false" customHeight="true" outlineLevel="0" collapsed="false">
      <c r="B53" s="37" t="s">
        <v>79</v>
      </c>
      <c r="C53" s="37"/>
      <c r="D53" s="37"/>
      <c r="E53" s="37"/>
      <c r="F53" s="37"/>
      <c r="G53" s="37"/>
      <c r="H53" s="37"/>
    </row>
    <row r="54" customFormat="false" ht="15" hidden="false" customHeight="true" outlineLevel="0" collapsed="false">
      <c r="B54" s="37" t="s">
        <v>80</v>
      </c>
      <c r="C54" s="37"/>
      <c r="D54" s="37"/>
      <c r="E54" s="37"/>
      <c r="F54" s="37"/>
      <c r="G54" s="37"/>
      <c r="H54" s="37"/>
    </row>
    <row r="55" customFormat="false" ht="15" hidden="false" customHeight="true" outlineLevel="0" collapsed="false">
      <c r="B55" s="37" t="s">
        <v>81</v>
      </c>
      <c r="C55" s="37"/>
      <c r="D55" s="37"/>
      <c r="E55" s="37"/>
      <c r="F55" s="37"/>
      <c r="G55" s="37"/>
      <c r="H55" s="37"/>
    </row>
    <row r="56" customFormat="false" ht="15" hidden="false" customHeight="true" outlineLevel="0" collapsed="false">
      <c r="B56" s="37" t="s">
        <v>82</v>
      </c>
      <c r="C56" s="37"/>
      <c r="D56" s="37"/>
      <c r="E56" s="37"/>
      <c r="F56" s="37"/>
      <c r="G56" s="37"/>
      <c r="H56" s="37"/>
    </row>
    <row r="57" customFormat="false" ht="15" hidden="false" customHeight="true" outlineLevel="0" collapsed="false">
      <c r="B57" s="37" t="s">
        <v>83</v>
      </c>
      <c r="C57" s="37"/>
      <c r="D57" s="37"/>
      <c r="E57" s="37"/>
      <c r="F57" s="37"/>
      <c r="G57" s="37"/>
      <c r="H57" s="37"/>
    </row>
    <row r="58" customFormat="false" ht="15" hidden="false" customHeight="true" outlineLevel="0" collapsed="false">
      <c r="B58" s="38" t="s">
        <v>84</v>
      </c>
    </row>
    <row r="60" customFormat="false" ht="15" hidden="false" customHeight="true" outlineLevel="0" collapsed="false">
      <c r="B60" s="18" t="s">
        <v>85</v>
      </c>
      <c r="C60" s="18" t="s">
        <v>86</v>
      </c>
      <c r="D60" s="18" t="s">
        <v>87</v>
      </c>
    </row>
    <row r="61" customFormat="false" ht="15" hidden="false" customHeight="true" outlineLevel="0" collapsed="false">
      <c r="B61" s="1" t="s">
        <v>88</v>
      </c>
      <c r="C61" s="1" t="s">
        <v>89</v>
      </c>
      <c r="D61" s="11" t="s">
        <v>90</v>
      </c>
    </row>
    <row r="62" customFormat="false" ht="15" hidden="false" customHeight="true" outlineLevel="0" collapsed="false">
      <c r="B62" s="1" t="s">
        <v>88</v>
      </c>
      <c r="C62" s="1" t="s">
        <v>91</v>
      </c>
      <c r="D62" s="11" t="s">
        <v>92</v>
      </c>
    </row>
    <row r="63" customFormat="false" ht="15" hidden="false" customHeight="true" outlineLevel="0" collapsed="false">
      <c r="B63" s="1" t="s">
        <v>88</v>
      </c>
      <c r="C63" s="1" t="s">
        <v>93</v>
      </c>
      <c r="D63" s="11" t="s">
        <v>94</v>
      </c>
    </row>
    <row r="64" customFormat="false" ht="15" hidden="false" customHeight="true" outlineLevel="0" collapsed="false">
      <c r="B64" s="1" t="s">
        <v>88</v>
      </c>
      <c r="C64" s="1" t="s">
        <v>95</v>
      </c>
      <c r="D64" s="11" t="s">
        <v>96</v>
      </c>
    </row>
    <row r="65" customFormat="false" ht="15" hidden="false" customHeight="true" outlineLevel="0" collapsed="false">
      <c r="B65" s="1" t="s">
        <v>88</v>
      </c>
      <c r="C65" s="1" t="s">
        <v>97</v>
      </c>
      <c r="D65" s="11" t="s">
        <v>98</v>
      </c>
    </row>
    <row r="66" customFormat="false" ht="15" hidden="false" customHeight="true" outlineLevel="0" collapsed="false">
      <c r="B66" s="1" t="s">
        <v>88</v>
      </c>
      <c r="C66" s="1" t="s">
        <v>99</v>
      </c>
      <c r="D66" s="11" t="s">
        <v>100</v>
      </c>
    </row>
  </sheetData>
  <mergeCells count="14">
    <mergeCell ref="B2:H2"/>
    <mergeCell ref="B3:H3"/>
    <mergeCell ref="B5:H5"/>
    <mergeCell ref="B13:H13"/>
    <mergeCell ref="B25:H25"/>
    <mergeCell ref="B36:H36"/>
    <mergeCell ref="B37:H37"/>
    <mergeCell ref="B47:H47"/>
    <mergeCell ref="B52:H52"/>
    <mergeCell ref="B53:H53"/>
    <mergeCell ref="B54:H54"/>
    <mergeCell ref="B55:H55"/>
    <mergeCell ref="B56:H56"/>
    <mergeCell ref="B57:H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5"/>
    <col collapsed="false" customWidth="true" hidden="false" outlineLevel="0" max="8" min="3" style="1" width="10"/>
  </cols>
  <sheetData>
    <row r="2" customFormat="false" ht="17.25" hidden="false" customHeight="true" outlineLevel="0" collapsed="false">
      <c r="B2" s="39" t="s">
        <v>101</v>
      </c>
    </row>
    <row r="3" customFormat="false" ht="15" hidden="false" customHeight="true" outlineLevel="0" collapsed="false">
      <c r="B3" s="40" t="s">
        <v>102</v>
      </c>
    </row>
    <row r="5" customFormat="false" ht="15" hidden="false" customHeight="true" outlineLevel="0" collapsed="false">
      <c r="B5" s="41" t="s">
        <v>103</v>
      </c>
    </row>
    <row r="7" customFormat="false" ht="15" hidden="false" customHeight="true" outlineLevel="0" collapsed="false">
      <c r="B7" s="15" t="s">
        <v>23</v>
      </c>
      <c r="C7" s="15" t="n">
        <v>2025</v>
      </c>
      <c r="D7" s="15" t="n">
        <v>2026</v>
      </c>
      <c r="E7" s="15" t="n">
        <v>2027</v>
      </c>
      <c r="F7" s="15" t="n">
        <v>2028</v>
      </c>
      <c r="G7" s="15" t="n">
        <v>2029</v>
      </c>
      <c r="H7" s="15" t="n">
        <v>2030</v>
      </c>
    </row>
    <row r="8" customFormat="false" ht="15" hidden="false" customHeight="true" outlineLevel="0" collapsed="false">
      <c r="B8" s="1" t="s">
        <v>104</v>
      </c>
      <c r="C8" s="42" t="n">
        <f aca="false">'1_输入与假设'!C16</f>
        <v>200</v>
      </c>
      <c r="D8" s="1" t="n">
        <f aca="false">C8*(1+'1_输入与假设'!C28)^1</f>
        <v>206</v>
      </c>
      <c r="E8" s="1" t="n">
        <f aca="false">C8*(1+'1_输入与假设'!C28)^2</f>
        <v>212.18</v>
      </c>
      <c r="F8" s="1" t="n">
        <f aca="false">C8*(1+'1_输入与假设'!C28)^3</f>
        <v>218.5454</v>
      </c>
      <c r="G8" s="1" t="n">
        <f aca="false">C8*(1+'1_输入与假设'!C28)^4</f>
        <v>225.101762</v>
      </c>
      <c r="H8" s="1" t="n">
        <f aca="false">C8*(1+'1_输入与假设'!C28)^5</f>
        <v>231.85481486</v>
      </c>
    </row>
    <row r="9" customFormat="false" ht="15" hidden="false" customHeight="true" outlineLevel="0" collapsed="false">
      <c r="B9" s="1" t="s">
        <v>105</v>
      </c>
      <c r="C9" s="42" t="n">
        <f aca="false">'1_输入与假设'!C17</f>
        <v>26</v>
      </c>
      <c r="D9" s="1" t="n">
        <f aca="false">C9*(1+'1_输入与假设'!C29)^1</f>
        <v>33.8</v>
      </c>
      <c r="E9" s="1" t="n">
        <f aca="false">C9*(1+'1_输入与假设'!C29)^2</f>
        <v>43.94</v>
      </c>
      <c r="F9" s="1" t="n">
        <f aca="false">C9*(1+'1_输入与假设'!C29)^3</f>
        <v>57.122</v>
      </c>
      <c r="G9" s="1" t="n">
        <f aca="false">C9*(1+'1_输入与假设'!C29)^4</f>
        <v>74.2586</v>
      </c>
      <c r="H9" s="1" t="n">
        <f aca="false">C9*(1+'1_输入与假设'!C29)^5</f>
        <v>96.53618</v>
      </c>
    </row>
    <row r="10" customFormat="false" ht="15" hidden="false" customHeight="true" outlineLevel="0" collapsed="false">
      <c r="B10" s="1" t="s">
        <v>32</v>
      </c>
      <c r="C10" s="42" t="n">
        <f aca="false">'1_输入与假设'!C18</f>
        <v>40</v>
      </c>
      <c r="D10" s="1" t="n">
        <f aca="false">C10*(1+'1_输入与假设'!C30)^1</f>
        <v>42.4</v>
      </c>
      <c r="E10" s="1" t="n">
        <f aca="false">C10*(1+'1_输入与假设'!C30)^2</f>
        <v>44.944</v>
      </c>
      <c r="F10" s="1" t="n">
        <f aca="false">C10*(1+'1_输入与假设'!C30)^3</f>
        <v>47.64064</v>
      </c>
      <c r="G10" s="1" t="n">
        <f aca="false">C10*(1+'1_输入与假设'!C30)^4</f>
        <v>50.4990784</v>
      </c>
      <c r="H10" s="1" t="n">
        <f aca="false">C10*(1+'1_输入与假设'!C30)^5</f>
        <v>53.529023104</v>
      </c>
    </row>
    <row r="11" customFormat="false" ht="15" hidden="false" customHeight="true" outlineLevel="0" collapsed="false">
      <c r="B11" s="1" t="s">
        <v>34</v>
      </c>
      <c r="C11" s="42" t="n">
        <f aca="false">'1_输入与假设'!C19</f>
        <v>28</v>
      </c>
      <c r="D11" s="1" t="n">
        <f aca="false">C11*(1+'1_输入与假设'!C31)^1</f>
        <v>27.16</v>
      </c>
      <c r="E11" s="1" t="n">
        <f aca="false">C11*(1+'1_输入与假设'!C31)^2</f>
        <v>26.3452</v>
      </c>
      <c r="F11" s="1" t="n">
        <f aca="false">C11*(1+'1_输入与假设'!C31)^3</f>
        <v>25.554844</v>
      </c>
      <c r="G11" s="1" t="n">
        <f aca="false">C11*(1+'1_输入与假设'!C31)^4</f>
        <v>24.78819868</v>
      </c>
      <c r="H11" s="1" t="n">
        <f aca="false">C11*(1+'1_输入与假设'!C31)^5</f>
        <v>24.0445527196</v>
      </c>
    </row>
    <row r="12" customFormat="false" ht="15" hidden="false" customHeight="true" outlineLevel="0" collapsed="false">
      <c r="B12" s="1" t="s">
        <v>36</v>
      </c>
      <c r="C12" s="42" t="n">
        <f aca="false">'1_输入与假设'!C20</f>
        <v>47</v>
      </c>
      <c r="D12" s="1" t="n">
        <f aca="false">C12*(1+'1_输入与假设'!C32)^1</f>
        <v>51.7</v>
      </c>
      <c r="E12" s="1" t="n">
        <f aca="false">C12*(1+'1_输入与假设'!C32)^2</f>
        <v>56.87</v>
      </c>
      <c r="F12" s="1" t="n">
        <f aca="false">C12*(1+'1_输入与假设'!C32)^3</f>
        <v>62.557</v>
      </c>
      <c r="G12" s="1" t="n">
        <f aca="false">C12*(1+'1_输入与假设'!C32)^4</f>
        <v>68.8127</v>
      </c>
      <c r="H12" s="1" t="n">
        <f aca="false">C12*(1+'1_输入与假设'!C32)^5</f>
        <v>75.69397</v>
      </c>
    </row>
    <row r="13" customFormat="false" ht="15" hidden="false" customHeight="true" outlineLevel="0" collapsed="false">
      <c r="B13" s="1" t="s">
        <v>106</v>
      </c>
      <c r="C13" s="42" t="n">
        <f aca="false">'1_输入与假设'!C21</f>
        <v>34.5</v>
      </c>
      <c r="D13" s="1" t="n">
        <f aca="false">C13*(1+'1_输入与假设'!C33)^1</f>
        <v>37.26</v>
      </c>
      <c r="E13" s="1" t="n">
        <f aca="false">C13*(1+'1_输入与假设'!C33)^2</f>
        <v>40.2408</v>
      </c>
      <c r="F13" s="1" t="n">
        <f aca="false">C13*(1+'1_输入与假设'!C33)^3</f>
        <v>43.460064</v>
      </c>
      <c r="G13" s="1" t="n">
        <f aca="false">C13*(1+'1_输入与假设'!C33)^4</f>
        <v>46.93686912</v>
      </c>
      <c r="H13" s="1" t="n">
        <f aca="false">C13*(1+'1_输入与假设'!C33)^5</f>
        <v>50.6918186496</v>
      </c>
    </row>
    <row r="14" customFormat="false" ht="15" hidden="false" customHeight="true" outlineLevel="0" collapsed="false">
      <c r="B14" s="1" t="s">
        <v>40</v>
      </c>
      <c r="C14" s="42" t="n">
        <f aca="false">'1_输入与假设'!C22</f>
        <v>23.5</v>
      </c>
      <c r="D14" s="1" t="n">
        <f aca="false">C14*(1+'1_输入与假设'!C34)^1</f>
        <v>30.55</v>
      </c>
      <c r="E14" s="1" t="n">
        <f aca="false">C14*(1+'1_输入与假设'!C34)^2</f>
        <v>39.715</v>
      </c>
      <c r="F14" s="1" t="n">
        <f aca="false">C14*(1+'1_输入与假设'!C34)^3</f>
        <v>51.6295</v>
      </c>
      <c r="G14" s="1" t="n">
        <f aca="false">C14*(1+'1_输入与假设'!C34)^4</f>
        <v>67.11835</v>
      </c>
      <c r="H14" s="1" t="n">
        <f aca="false">C14*(1+'1_输入与假设'!C34)^5</f>
        <v>87.253855</v>
      </c>
    </row>
    <row r="15" customFormat="false" ht="15" hidden="false" customHeight="true" outlineLevel="0" collapsed="false">
      <c r="B15" s="1" t="s">
        <v>42</v>
      </c>
      <c r="C15" s="42" t="n">
        <f aca="false">'1_输入与假设'!C23</f>
        <v>2</v>
      </c>
      <c r="D15" s="1" t="n">
        <f aca="false">C15*(1+'1_输入与假设'!C35)^1</f>
        <v>2.6</v>
      </c>
      <c r="E15" s="1" t="n">
        <f aca="false">C15*(1+'1_输入与假设'!C35)^2</f>
        <v>3.38</v>
      </c>
      <c r="F15" s="1" t="n">
        <f aca="false">C15*(1+'1_输入与假设'!C35)^3</f>
        <v>4.394</v>
      </c>
      <c r="G15" s="1" t="n">
        <f aca="false">C15*(1+'1_输入与假设'!C35)^4</f>
        <v>5.7122</v>
      </c>
      <c r="H15" s="1" t="n">
        <f aca="false">C15*(1+'1_输入与假设'!C35)^5</f>
        <v>7.42586</v>
      </c>
    </row>
    <row r="16" customFormat="false" ht="15" hidden="false" customHeight="true" outlineLevel="0" collapsed="false">
      <c r="B16" s="43" t="s">
        <v>107</v>
      </c>
      <c r="C16" s="15" t="n">
        <f aca="false">SUM(C8:C15)</f>
        <v>401</v>
      </c>
      <c r="D16" s="15" t="n">
        <f aca="false">SUM(D8:D15)</f>
        <v>431.47</v>
      </c>
      <c r="E16" s="15" t="n">
        <f aca="false">SUM(E8:E15)</f>
        <v>467.615</v>
      </c>
      <c r="F16" s="15" t="n">
        <f aca="false">SUM(F8:F15)</f>
        <v>510.903448</v>
      </c>
      <c r="G16" s="15" t="n">
        <f aca="false">SUM(G8:G15)</f>
        <v>563.2277582</v>
      </c>
      <c r="H16" s="15" t="n">
        <f aca="false">SUM(H8:H15)</f>
        <v>627.0300743332</v>
      </c>
    </row>
    <row r="18" customFormat="false" ht="15" hidden="false" customHeight="true" outlineLevel="0" collapsed="false">
      <c r="B18" s="44" t="s">
        <v>108</v>
      </c>
    </row>
    <row r="20" customFormat="false" ht="15" hidden="false" customHeight="true" outlineLevel="0" collapsed="false">
      <c r="B20" s="15" t="s">
        <v>23</v>
      </c>
      <c r="C20" s="15" t="n">
        <v>2025</v>
      </c>
      <c r="D20" s="15" t="n">
        <v>2026</v>
      </c>
      <c r="E20" s="15" t="n">
        <v>2027</v>
      </c>
      <c r="F20" s="15" t="n">
        <v>2028</v>
      </c>
      <c r="G20" s="15" t="n">
        <v>2029</v>
      </c>
      <c r="H20" s="15" t="n">
        <v>2030</v>
      </c>
    </row>
    <row r="21" customFormat="false" ht="15" hidden="false" customHeight="true" outlineLevel="0" collapsed="false">
      <c r="B21" s="1" t="s">
        <v>104</v>
      </c>
      <c r="C21" s="42" t="n">
        <f aca="false">'1_输入与假设'!C16</f>
        <v>200</v>
      </c>
      <c r="D21" s="1" t="n">
        <f aca="false">C21*(1+'1_输入与假设'!D28)^1</f>
        <v>210</v>
      </c>
      <c r="E21" s="1" t="n">
        <f aca="false">C21*(1+'1_输入与假设'!D28)^2</f>
        <v>220.5</v>
      </c>
      <c r="F21" s="1" t="n">
        <f aca="false">C21*(1+'1_输入与假设'!D28)^3</f>
        <v>231.525</v>
      </c>
      <c r="G21" s="1" t="n">
        <f aca="false">C21*(1+'1_输入与假设'!D28)^4</f>
        <v>243.10125</v>
      </c>
      <c r="H21" s="1" t="n">
        <f aca="false">C21*(1+'1_输入与假设'!D28)^5</f>
        <v>255.2563125</v>
      </c>
    </row>
    <row r="22" customFormat="false" ht="15" hidden="false" customHeight="true" outlineLevel="0" collapsed="false">
      <c r="B22" s="1" t="s">
        <v>105</v>
      </c>
      <c r="C22" s="42" t="n">
        <f aca="false">'1_输入与假设'!C17</f>
        <v>26</v>
      </c>
      <c r="D22" s="1" t="n">
        <f aca="false">C22*(1+'1_输入与假设'!D29)^1</f>
        <v>36.4</v>
      </c>
      <c r="E22" s="1" t="n">
        <f aca="false">C22*(1+'1_输入与假设'!D29)^2</f>
        <v>50.96</v>
      </c>
      <c r="F22" s="1" t="n">
        <f aca="false">C22*(1+'1_输入与假设'!D29)^3</f>
        <v>71.344</v>
      </c>
      <c r="G22" s="1" t="n">
        <f aca="false">C22*(1+'1_输入与假设'!D29)^4</f>
        <v>99.8816</v>
      </c>
      <c r="H22" s="1" t="n">
        <f aca="false">C22*(1+'1_输入与假设'!D29)^5</f>
        <v>139.83424</v>
      </c>
    </row>
    <row r="23" customFormat="false" ht="15" hidden="false" customHeight="true" outlineLevel="0" collapsed="false">
      <c r="B23" s="1" t="s">
        <v>32</v>
      </c>
      <c r="C23" s="42" t="n">
        <f aca="false">'1_输入与假设'!C18</f>
        <v>40</v>
      </c>
      <c r="D23" s="1" t="n">
        <f aca="false">C23*(1+'1_输入与假设'!D30)^1</f>
        <v>44</v>
      </c>
      <c r="E23" s="1" t="n">
        <f aca="false">C23*(1+'1_输入与假设'!D30)^2</f>
        <v>48.4</v>
      </c>
      <c r="F23" s="1" t="n">
        <f aca="false">C23*(1+'1_输入与假设'!D30)^3</f>
        <v>53.24</v>
      </c>
      <c r="G23" s="1" t="n">
        <f aca="false">C23*(1+'1_输入与假设'!D30)^4</f>
        <v>58.564</v>
      </c>
      <c r="H23" s="1" t="n">
        <f aca="false">C23*(1+'1_输入与假设'!D30)^5</f>
        <v>64.4204</v>
      </c>
    </row>
    <row r="24" customFormat="false" ht="15" hidden="false" customHeight="true" outlineLevel="0" collapsed="false">
      <c r="B24" s="1" t="s">
        <v>34</v>
      </c>
      <c r="C24" s="42" t="n">
        <f aca="false">'1_输入与假设'!C19</f>
        <v>28</v>
      </c>
      <c r="D24" s="1" t="n">
        <f aca="false">C24*(1+'1_输入与假设'!D31)^1</f>
        <v>27.72</v>
      </c>
      <c r="E24" s="1" t="n">
        <f aca="false">C24*(1+'1_输入与假设'!D31)^2</f>
        <v>27.4428</v>
      </c>
      <c r="F24" s="1" t="n">
        <f aca="false">C24*(1+'1_输入与假设'!D31)^3</f>
        <v>27.168372</v>
      </c>
      <c r="G24" s="1" t="n">
        <f aca="false">C24*(1+'1_输入与假设'!D31)^4</f>
        <v>26.89668828</v>
      </c>
      <c r="H24" s="1" t="n">
        <f aca="false">C24*(1+'1_输入与假设'!D31)^5</f>
        <v>26.6277213972</v>
      </c>
    </row>
    <row r="25" customFormat="false" ht="15" hidden="false" customHeight="true" outlineLevel="0" collapsed="false">
      <c r="B25" s="1" t="s">
        <v>36</v>
      </c>
      <c r="C25" s="42" t="n">
        <f aca="false">'1_输入与假设'!C20</f>
        <v>47</v>
      </c>
      <c r="D25" s="1" t="n">
        <f aca="false">C25*(1+'1_输入与假设'!D32)^1</f>
        <v>54.05</v>
      </c>
      <c r="E25" s="1" t="n">
        <f aca="false">C25*(1+'1_输入与假设'!D32)^2</f>
        <v>62.1575</v>
      </c>
      <c r="F25" s="1" t="n">
        <f aca="false">C25*(1+'1_输入与假设'!D32)^3</f>
        <v>71.481125</v>
      </c>
      <c r="G25" s="1" t="n">
        <f aca="false">C25*(1+'1_输入与假设'!D32)^4</f>
        <v>82.20329375</v>
      </c>
      <c r="H25" s="1" t="n">
        <f aca="false">C25*(1+'1_输入与假设'!D32)^5</f>
        <v>94.5337878125</v>
      </c>
    </row>
    <row r="26" customFormat="false" ht="15" hidden="false" customHeight="true" outlineLevel="0" collapsed="false">
      <c r="B26" s="1" t="s">
        <v>106</v>
      </c>
      <c r="C26" s="42" t="n">
        <f aca="false">'1_输入与假设'!C21</f>
        <v>34.5</v>
      </c>
      <c r="D26" s="1" t="n">
        <f aca="false">C26*(1+'1_输入与假设'!D33)^1</f>
        <v>38.64</v>
      </c>
      <c r="E26" s="1" t="n">
        <f aca="false">C26*(1+'1_输入与假设'!D33)^2</f>
        <v>43.2768</v>
      </c>
      <c r="F26" s="1" t="n">
        <f aca="false">C26*(1+'1_输入与假设'!D33)^3</f>
        <v>48.470016</v>
      </c>
      <c r="G26" s="1" t="n">
        <f aca="false">C26*(1+'1_输入与假设'!D33)^4</f>
        <v>54.28641792</v>
      </c>
      <c r="H26" s="1" t="n">
        <f aca="false">C26*(1+'1_输入与假设'!D33)^5</f>
        <v>60.8007880704</v>
      </c>
    </row>
    <row r="27" customFormat="false" ht="15" hidden="false" customHeight="true" outlineLevel="0" collapsed="false">
      <c r="B27" s="1" t="s">
        <v>40</v>
      </c>
      <c r="C27" s="42" t="n">
        <f aca="false">'1_输入与假设'!C22</f>
        <v>23.5</v>
      </c>
      <c r="D27" s="1" t="n">
        <f aca="false">C27*(1+'1_输入与假设'!D34)^1</f>
        <v>32.9</v>
      </c>
      <c r="E27" s="1" t="n">
        <f aca="false">C27*(1+'1_输入与假设'!D34)^2</f>
        <v>46.06</v>
      </c>
      <c r="F27" s="1" t="n">
        <f aca="false">C27*(1+'1_输入与假设'!D34)^3</f>
        <v>64.484</v>
      </c>
      <c r="G27" s="1" t="n">
        <f aca="false">C27*(1+'1_输入与假设'!D34)^4</f>
        <v>90.2776</v>
      </c>
      <c r="H27" s="1" t="n">
        <f aca="false">C27*(1+'1_输入与假设'!D34)^5</f>
        <v>126.38864</v>
      </c>
    </row>
    <row r="28" customFormat="false" ht="15" hidden="false" customHeight="true" outlineLevel="0" collapsed="false">
      <c r="B28" s="1" t="s">
        <v>42</v>
      </c>
      <c r="C28" s="42" t="n">
        <f aca="false">'1_输入与假设'!C23</f>
        <v>2</v>
      </c>
      <c r="D28" s="1" t="n">
        <f aca="false">C28*(1+'1_输入与假设'!D35)^1</f>
        <v>3</v>
      </c>
      <c r="E28" s="1" t="n">
        <f aca="false">C28*(1+'1_输入与假设'!D35)^2</f>
        <v>4.5</v>
      </c>
      <c r="F28" s="1" t="n">
        <f aca="false">C28*(1+'1_输入与假设'!D35)^3</f>
        <v>6.75</v>
      </c>
      <c r="G28" s="1" t="n">
        <f aca="false">C28*(1+'1_输入与假设'!D35)^4</f>
        <v>10.125</v>
      </c>
      <c r="H28" s="1" t="n">
        <f aca="false">C28*(1+'1_输入与假设'!D35)^5</f>
        <v>15.1875</v>
      </c>
    </row>
    <row r="29" customFormat="false" ht="15" hidden="false" customHeight="true" outlineLevel="0" collapsed="false">
      <c r="B29" s="43" t="s">
        <v>109</v>
      </c>
      <c r="C29" s="15" t="n">
        <f aca="false">SUM(C21:C28)</f>
        <v>401</v>
      </c>
      <c r="D29" s="15" t="n">
        <f aca="false">SUM(D21:D28)</f>
        <v>446.71</v>
      </c>
      <c r="E29" s="15" t="n">
        <f aca="false">SUM(E21:E28)</f>
        <v>503.2971</v>
      </c>
      <c r="F29" s="15" t="n">
        <f aca="false">SUM(F21:F28)</f>
        <v>574.462513</v>
      </c>
      <c r="G29" s="15" t="n">
        <f aca="false">SUM(G21:G28)</f>
        <v>665.33584995</v>
      </c>
      <c r="H29" s="15" t="n">
        <f aca="false">SUM(H21:H28)</f>
        <v>783.0493897801</v>
      </c>
    </row>
    <row r="31" customFormat="false" ht="15" hidden="false" customHeight="true" outlineLevel="0" collapsed="false">
      <c r="B31" s="45" t="s">
        <v>110</v>
      </c>
    </row>
    <row r="33" customFormat="false" ht="15" hidden="false" customHeight="true" outlineLevel="0" collapsed="false">
      <c r="B33" s="15" t="s">
        <v>23</v>
      </c>
      <c r="C33" s="15" t="n">
        <v>2025</v>
      </c>
      <c r="D33" s="15" t="n">
        <v>2026</v>
      </c>
      <c r="E33" s="15" t="n">
        <v>2027</v>
      </c>
      <c r="F33" s="15" t="n">
        <v>2028</v>
      </c>
      <c r="G33" s="15" t="n">
        <v>2029</v>
      </c>
      <c r="H33" s="15" t="n">
        <v>2030</v>
      </c>
    </row>
    <row r="34" customFormat="false" ht="15" hidden="false" customHeight="true" outlineLevel="0" collapsed="false">
      <c r="B34" s="1" t="s">
        <v>104</v>
      </c>
      <c r="C34" s="42" t="n">
        <f aca="false">'1_输入与假设'!C16</f>
        <v>200</v>
      </c>
      <c r="D34" s="1" t="n">
        <f aca="false">C34*(1+'1_输入与假设'!E28)^1</f>
        <v>214</v>
      </c>
      <c r="E34" s="1" t="n">
        <f aca="false">C34*(1+'1_输入与假设'!E28)^2</f>
        <v>228.98</v>
      </c>
      <c r="F34" s="1" t="n">
        <f aca="false">C34*(1+'1_输入与假设'!E28)^3</f>
        <v>245.0086</v>
      </c>
      <c r="G34" s="1" t="n">
        <f aca="false">C34*(1+'1_输入与假设'!E28)^4</f>
        <v>262.159202</v>
      </c>
      <c r="H34" s="1" t="n">
        <f aca="false">C34*(1+'1_输入与假设'!E28)^5</f>
        <v>280.51034614</v>
      </c>
    </row>
    <row r="35" customFormat="false" ht="15" hidden="false" customHeight="true" outlineLevel="0" collapsed="false">
      <c r="B35" s="1" t="s">
        <v>105</v>
      </c>
      <c r="C35" s="42" t="n">
        <f aca="false">'1_输入与假设'!C17</f>
        <v>26</v>
      </c>
      <c r="D35" s="1" t="n">
        <f aca="false">C35*(1+'1_输入与假设'!E29)^1</f>
        <v>40.3</v>
      </c>
      <c r="E35" s="1" t="n">
        <f aca="false">C35*(1+'1_输入与假设'!E29)^2</f>
        <v>62.465</v>
      </c>
      <c r="F35" s="1" t="n">
        <f aca="false">C35*(1+'1_输入与假设'!E29)^3</f>
        <v>96.82075</v>
      </c>
      <c r="G35" s="1" t="n">
        <f aca="false">C35*(1+'1_输入与假设'!E29)^4</f>
        <v>150.0721625</v>
      </c>
      <c r="H35" s="1" t="n">
        <f aca="false">C35*(1+'1_输入与假设'!E29)^5</f>
        <v>232.611851875</v>
      </c>
    </row>
    <row r="36" customFormat="false" ht="15" hidden="false" customHeight="true" outlineLevel="0" collapsed="false">
      <c r="B36" s="1" t="s">
        <v>32</v>
      </c>
      <c r="C36" s="42" t="n">
        <f aca="false">'1_输入与假设'!C18</f>
        <v>40</v>
      </c>
      <c r="D36" s="1" t="n">
        <f aca="false">C36*(1+'1_输入与假设'!E30)^1</f>
        <v>45.6</v>
      </c>
      <c r="E36" s="1" t="n">
        <f aca="false">C36*(1+'1_输入与假设'!E30)^2</f>
        <v>51.984</v>
      </c>
      <c r="F36" s="1" t="n">
        <f aca="false">C36*(1+'1_输入与假设'!E30)^3</f>
        <v>59.26176</v>
      </c>
      <c r="G36" s="1" t="n">
        <f aca="false">C36*(1+'1_输入与假设'!E30)^4</f>
        <v>67.5584064</v>
      </c>
      <c r="H36" s="1" t="n">
        <f aca="false">C36*(1+'1_输入与假设'!E30)^5</f>
        <v>77.0165832960001</v>
      </c>
    </row>
    <row r="37" customFormat="false" ht="15" hidden="false" customHeight="true" outlineLevel="0" collapsed="false">
      <c r="B37" s="1" t="s">
        <v>34</v>
      </c>
      <c r="C37" s="42" t="n">
        <f aca="false">'1_输入与假设'!C19</f>
        <v>28</v>
      </c>
      <c r="D37" s="1" t="n">
        <f aca="false">C37*(1+'1_输入与假设'!E31)^1</f>
        <v>28.56</v>
      </c>
      <c r="E37" s="1" t="n">
        <f aca="false">C37*(1+'1_输入与假设'!E31)^2</f>
        <v>29.1312</v>
      </c>
      <c r="F37" s="1" t="n">
        <f aca="false">C37*(1+'1_输入与假设'!E31)^3</f>
        <v>29.713824</v>
      </c>
      <c r="G37" s="1" t="n">
        <f aca="false">C37*(1+'1_输入与假设'!E31)^4</f>
        <v>30.30810048</v>
      </c>
      <c r="H37" s="1" t="n">
        <f aca="false">C37*(1+'1_输入与假设'!E31)^5</f>
        <v>30.9142624896</v>
      </c>
    </row>
    <row r="38" customFormat="false" ht="15" hidden="false" customHeight="true" outlineLevel="0" collapsed="false">
      <c r="B38" s="1" t="s">
        <v>36</v>
      </c>
      <c r="C38" s="42" t="n">
        <f aca="false">'1_输入与假设'!C20</f>
        <v>47</v>
      </c>
      <c r="D38" s="1" t="n">
        <f aca="false">C38*(1+'1_输入与假设'!E32)^1</f>
        <v>56.4</v>
      </c>
      <c r="E38" s="1" t="n">
        <f aca="false">C38*(1+'1_输入与假设'!E32)^2</f>
        <v>67.68</v>
      </c>
      <c r="F38" s="1" t="n">
        <f aca="false">C38*(1+'1_输入与假设'!E32)^3</f>
        <v>81.216</v>
      </c>
      <c r="G38" s="1" t="n">
        <f aca="false">C38*(1+'1_输入与假设'!E32)^4</f>
        <v>97.4592</v>
      </c>
      <c r="H38" s="1" t="n">
        <f aca="false">C38*(1+'1_输入与假设'!E32)^5</f>
        <v>116.95104</v>
      </c>
    </row>
    <row r="39" customFormat="false" ht="15" hidden="false" customHeight="true" outlineLevel="0" collapsed="false">
      <c r="B39" s="1" t="s">
        <v>106</v>
      </c>
      <c r="C39" s="42" t="n">
        <f aca="false">'1_输入与假设'!C21</f>
        <v>34.5</v>
      </c>
      <c r="D39" s="1" t="n">
        <f aca="false">C39*(1+'1_输入与假设'!E33)^1</f>
        <v>40.02</v>
      </c>
      <c r="E39" s="1" t="n">
        <f aca="false">C39*(1+'1_输入与假设'!E33)^2</f>
        <v>46.4232</v>
      </c>
      <c r="F39" s="1" t="n">
        <f aca="false">C39*(1+'1_输入与假设'!E33)^3</f>
        <v>53.850912</v>
      </c>
      <c r="G39" s="1" t="n">
        <f aca="false">C39*(1+'1_输入与假设'!E33)^4</f>
        <v>62.46705792</v>
      </c>
      <c r="H39" s="1" t="n">
        <f aca="false">C39*(1+'1_输入与假设'!E33)^5</f>
        <v>72.4617871872</v>
      </c>
    </row>
    <row r="40" customFormat="false" ht="15" hidden="false" customHeight="true" outlineLevel="0" collapsed="false">
      <c r="B40" s="1" t="s">
        <v>40</v>
      </c>
      <c r="C40" s="42" t="n">
        <f aca="false">'1_输入与假设'!C22</f>
        <v>23.5</v>
      </c>
      <c r="D40" s="1" t="n">
        <f aca="false">C40*(1+'1_输入与假设'!E34)^1</f>
        <v>35.25</v>
      </c>
      <c r="E40" s="1" t="n">
        <f aca="false">C40*(1+'1_输入与假设'!E34)^2</f>
        <v>52.875</v>
      </c>
      <c r="F40" s="1" t="n">
        <f aca="false">C40*(1+'1_输入与假设'!E34)^3</f>
        <v>79.3125</v>
      </c>
      <c r="G40" s="1" t="n">
        <f aca="false">C40*(1+'1_输入与假设'!E34)^4</f>
        <v>118.96875</v>
      </c>
      <c r="H40" s="1" t="n">
        <f aca="false">C40*(1+'1_输入与假设'!E34)^5</f>
        <v>178.453125</v>
      </c>
    </row>
    <row r="41" customFormat="false" ht="15" hidden="false" customHeight="true" outlineLevel="0" collapsed="false">
      <c r="B41" s="1" t="s">
        <v>42</v>
      </c>
      <c r="C41" s="42" t="n">
        <f aca="false">'1_输入与假设'!C23</f>
        <v>2</v>
      </c>
      <c r="D41" s="1" t="n">
        <f aca="false">C41*(1+'1_输入与假设'!E35)^1</f>
        <v>3.6</v>
      </c>
      <c r="E41" s="1" t="n">
        <f aca="false">C41*(1+'1_输入与假设'!E35)^2</f>
        <v>6.48</v>
      </c>
      <c r="F41" s="1" t="n">
        <f aca="false">C41*(1+'1_输入与假设'!E35)^3</f>
        <v>11.664</v>
      </c>
      <c r="G41" s="1" t="n">
        <f aca="false">C41*(1+'1_输入与假设'!E35)^4</f>
        <v>20.9952</v>
      </c>
      <c r="H41" s="1" t="n">
        <f aca="false">C41*(1+'1_输入与假设'!E35)^5</f>
        <v>37.79136</v>
      </c>
    </row>
    <row r="42" customFormat="false" ht="15" hidden="false" customHeight="true" outlineLevel="0" collapsed="false">
      <c r="B42" s="43" t="s">
        <v>111</v>
      </c>
      <c r="C42" s="15" t="n">
        <f aca="false">SUM(C34:C41)</f>
        <v>401</v>
      </c>
      <c r="D42" s="15" t="n">
        <f aca="false">SUM(D34:D41)</f>
        <v>463.73</v>
      </c>
      <c r="E42" s="15" t="n">
        <f aca="false">SUM(E34:E41)</f>
        <v>546.0184</v>
      </c>
      <c r="F42" s="15" t="n">
        <f aca="false">SUM(F34:F41)</f>
        <v>656.848346</v>
      </c>
      <c r="G42" s="15" t="n">
        <f aca="false">SUM(G34:G41)</f>
        <v>809.9880793</v>
      </c>
      <c r="H42" s="15" t="n">
        <f aca="false">SUM(H34:H41)</f>
        <v>1026.7103559878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8"/>
    <col collapsed="false" customWidth="true" hidden="false" outlineLevel="0" max="6" min="3" style="1" width="16"/>
  </cols>
  <sheetData>
    <row r="2" customFormat="false" ht="17.25" hidden="false" customHeight="true" outlineLevel="0" collapsed="false">
      <c r="B2" s="39" t="s">
        <v>112</v>
      </c>
    </row>
    <row r="3" customFormat="false" ht="15" hidden="false" customHeight="true" outlineLevel="0" collapsed="false">
      <c r="B3" s="40" t="s">
        <v>113</v>
      </c>
    </row>
    <row r="5" customFormat="false" ht="15" hidden="false" customHeight="true" outlineLevel="0" collapsed="false">
      <c r="B5" s="41" t="s">
        <v>114</v>
      </c>
    </row>
    <row r="7" customFormat="false" ht="15" hidden="false" customHeight="true" outlineLevel="0" collapsed="false">
      <c r="B7" s="18" t="s">
        <v>23</v>
      </c>
      <c r="C7" s="46" t="s">
        <v>115</v>
      </c>
      <c r="D7" s="18" t="s">
        <v>116</v>
      </c>
      <c r="E7" s="46" t="s">
        <v>117</v>
      </c>
      <c r="F7" s="18" t="s">
        <v>118</v>
      </c>
    </row>
    <row r="8" customFormat="false" ht="15" hidden="false" customHeight="true" outlineLevel="0" collapsed="false">
      <c r="B8" s="1" t="s">
        <v>104</v>
      </c>
      <c r="C8" s="1" t="n">
        <f aca="false">'2_5年预测'!H8</f>
        <v>231.85481486</v>
      </c>
      <c r="D8" s="47" t="n">
        <f aca="false">'1_输入与假设'!C39</f>
        <v>5</v>
      </c>
      <c r="E8" s="1" t="n">
        <f aca="false">C8*D8</f>
        <v>1159.2740743</v>
      </c>
      <c r="F8" s="1" t="n">
        <f aca="false">E8/(1+'1_输入与假设'!C10)^4</f>
        <v>791.799791202786</v>
      </c>
    </row>
    <row r="9" customFormat="false" ht="15" hidden="false" customHeight="true" outlineLevel="0" collapsed="false">
      <c r="B9" s="1" t="s">
        <v>105</v>
      </c>
      <c r="C9" s="1" t="n">
        <f aca="false">'2_5年预测'!H9</f>
        <v>96.53618</v>
      </c>
      <c r="D9" s="47" t="n">
        <f aca="false">'1_输入与假设'!C40</f>
        <v>8</v>
      </c>
      <c r="E9" s="1" t="n">
        <f aca="false">C9*D9</f>
        <v>772.28944</v>
      </c>
      <c r="F9" s="1" t="n">
        <f aca="false">E9/(1+'1_输入与假设'!C10)^4</f>
        <v>527.484078956355</v>
      </c>
    </row>
    <row r="10" customFormat="false" ht="15" hidden="false" customHeight="true" outlineLevel="0" collapsed="false">
      <c r="B10" s="1" t="s">
        <v>32</v>
      </c>
      <c r="C10" s="1" t="n">
        <f aca="false">'2_5年预测'!H10</f>
        <v>53.529023104</v>
      </c>
      <c r="D10" s="47" t="n">
        <f aca="false">'1_输入与假设'!C41</f>
        <v>5.5</v>
      </c>
      <c r="E10" s="1" t="n">
        <f aca="false">C10*D10</f>
        <v>294.409627072</v>
      </c>
      <c r="F10" s="1" t="n">
        <f aca="false">E10/(1+'1_输入与假设'!C10)^4</f>
        <v>201.085736679189</v>
      </c>
    </row>
    <row r="11" customFormat="false" ht="15" hidden="false" customHeight="true" outlineLevel="0" collapsed="false">
      <c r="B11" s="1" t="s">
        <v>34</v>
      </c>
      <c r="C11" s="1" t="n">
        <f aca="false">'2_5年预测'!H11</f>
        <v>24.0445527196</v>
      </c>
      <c r="D11" s="47" t="n">
        <f aca="false">'1_输入与假设'!C42</f>
        <v>3.5</v>
      </c>
      <c r="E11" s="1" t="n">
        <f aca="false">C11*D11</f>
        <v>84.1559345186</v>
      </c>
      <c r="F11" s="1" t="n">
        <f aca="false">E11/(1+'1_输入与假设'!C10)^4</f>
        <v>57.4796356250256</v>
      </c>
    </row>
    <row r="12" customFormat="false" ht="15" hidden="false" customHeight="true" outlineLevel="0" collapsed="false">
      <c r="B12" s="1" t="s">
        <v>36</v>
      </c>
      <c r="C12" s="1" t="n">
        <f aca="false">'2_5年预测'!H12</f>
        <v>75.69397</v>
      </c>
      <c r="D12" s="47" t="n">
        <f aca="false">'1_输入与假设'!C43</f>
        <v>6</v>
      </c>
      <c r="E12" s="1" t="n">
        <f aca="false">C12*D12</f>
        <v>454.16382</v>
      </c>
      <c r="F12" s="1" t="n">
        <f aca="false">E12/(1+'1_输入与假设'!C10)^4</f>
        <v>310.2</v>
      </c>
    </row>
    <row r="13" customFormat="false" ht="15" hidden="false" customHeight="true" outlineLevel="0" collapsed="false">
      <c r="B13" s="1" t="s">
        <v>106</v>
      </c>
      <c r="C13" s="1" t="n">
        <f aca="false">'2_5年预测'!H13</f>
        <v>50.6918186496</v>
      </c>
      <c r="D13" s="47" t="n">
        <f aca="false">'1_输入与假设'!C44</f>
        <v>5</v>
      </c>
      <c r="E13" s="1" t="n">
        <f aca="false">C13*D13</f>
        <v>253.459093248</v>
      </c>
      <c r="F13" s="1" t="n">
        <f aca="false">E13/(1+'1_输入与假设'!C10)^4</f>
        <v>173.115971073014</v>
      </c>
    </row>
    <row r="14" customFormat="false" ht="15" hidden="false" customHeight="true" outlineLevel="0" collapsed="false">
      <c r="B14" s="1" t="s">
        <v>40</v>
      </c>
      <c r="C14" s="1" t="n">
        <f aca="false">'2_5年预测'!H14</f>
        <v>87.253855</v>
      </c>
      <c r="D14" s="47" t="n">
        <f aca="false">'1_输入与假设'!C45</f>
        <v>12</v>
      </c>
      <c r="E14" s="1" t="n">
        <f aca="false">C14*D14</f>
        <v>1047.04626</v>
      </c>
      <c r="F14" s="1" t="n">
        <f aca="false">E14/(1+'1_输入与假设'!C10)^4</f>
        <v>715.146683969674</v>
      </c>
    </row>
    <row r="15" customFormat="false" ht="15" hidden="false" customHeight="true" outlineLevel="0" collapsed="false">
      <c r="B15" s="1" t="s">
        <v>42</v>
      </c>
      <c r="C15" s="1" t="n">
        <f aca="false">'2_5年预测'!H15</f>
        <v>7.42586</v>
      </c>
      <c r="D15" s="1" t="n">
        <f aca="false">'1_输入与假设'!C46</f>
        <v>5</v>
      </c>
      <c r="E15" s="1" t="n">
        <f aca="false">C15*D15</f>
        <v>37.1293</v>
      </c>
      <c r="F15" s="1" t="n">
        <f aca="false">E15/(1+'1_输入与假设'!C10)^4</f>
        <v>25.3598114882863</v>
      </c>
    </row>
    <row r="16" customFormat="false" ht="15" hidden="false" customHeight="true" outlineLevel="0" collapsed="false">
      <c r="B16" s="43" t="s">
        <v>119</v>
      </c>
      <c r="E16" s="15" t="n">
        <f aca="false">SUM(E8:E15)</f>
        <v>4101.9275491386</v>
      </c>
      <c r="F16" s="15" t="n">
        <f aca="false">SUM(F8:F15)</f>
        <v>2801.67170899433</v>
      </c>
    </row>
    <row r="18" customFormat="false" ht="15" hidden="false" customHeight="true" outlineLevel="0" collapsed="false">
      <c r="B18" s="44" t="s">
        <v>120</v>
      </c>
    </row>
    <row r="20" customFormat="false" ht="15" hidden="false" customHeight="true" outlineLevel="0" collapsed="false">
      <c r="B20" s="18" t="s">
        <v>23</v>
      </c>
      <c r="C20" s="46" t="s">
        <v>115</v>
      </c>
      <c r="D20" s="18" t="s">
        <v>116</v>
      </c>
      <c r="E20" s="46" t="s">
        <v>117</v>
      </c>
      <c r="F20" s="18" t="s">
        <v>118</v>
      </c>
    </row>
    <row r="21" customFormat="false" ht="15" hidden="false" customHeight="true" outlineLevel="0" collapsed="false">
      <c r="B21" s="1" t="s">
        <v>104</v>
      </c>
      <c r="C21" s="1" t="n">
        <f aca="false">'2_5年预测'!H21</f>
        <v>255.2563125</v>
      </c>
      <c r="D21" s="47" t="n">
        <f aca="false">'1_输入与假设'!C39</f>
        <v>5</v>
      </c>
      <c r="E21" s="1" t="n">
        <f aca="false">C21*D21</f>
        <v>1276.2815625</v>
      </c>
      <c r="F21" s="1" t="n">
        <f aca="false">E21/(1+'1_输入与假设'!C10)^4</f>
        <v>871.717480021856</v>
      </c>
    </row>
    <row r="22" customFormat="false" ht="15" hidden="false" customHeight="true" outlineLevel="0" collapsed="false">
      <c r="B22" s="1" t="s">
        <v>105</v>
      </c>
      <c r="C22" s="1" t="n">
        <f aca="false">'2_5年预测'!H22</f>
        <v>139.83424</v>
      </c>
      <c r="D22" s="47" t="n">
        <f aca="false">'1_输入与假设'!C40</f>
        <v>8</v>
      </c>
      <c r="E22" s="1" t="n">
        <f aca="false">C22*D22</f>
        <v>1118.67392</v>
      </c>
      <c r="F22" s="1" t="n">
        <f aca="false">E22/(1+'1_输入与假设'!C10)^4</f>
        <v>764.069339525988</v>
      </c>
    </row>
    <row r="23" customFormat="false" ht="15" hidden="false" customHeight="true" outlineLevel="0" collapsed="false">
      <c r="B23" s="1" t="s">
        <v>32</v>
      </c>
      <c r="C23" s="1" t="n">
        <f aca="false">'2_5年预测'!H23</f>
        <v>64.4204</v>
      </c>
      <c r="D23" s="47" t="n">
        <f aca="false">'1_输入与假设'!C41</f>
        <v>5.5</v>
      </c>
      <c r="E23" s="1" t="n">
        <f aca="false">C23*D23</f>
        <v>354.3122</v>
      </c>
      <c r="F23" s="1" t="n">
        <f aca="false">E23/(1+'1_输入与假设'!C10)^4</f>
        <v>242</v>
      </c>
    </row>
    <row r="24" customFormat="false" ht="15" hidden="false" customHeight="true" outlineLevel="0" collapsed="false">
      <c r="B24" s="1" t="s">
        <v>34</v>
      </c>
      <c r="C24" s="1" t="n">
        <f aca="false">'2_5年预测'!H24</f>
        <v>26.6277213972</v>
      </c>
      <c r="D24" s="47" t="n">
        <f aca="false">'1_输入与假设'!C42</f>
        <v>3.5</v>
      </c>
      <c r="E24" s="1" t="n">
        <f aca="false">C24*D24</f>
        <v>93.1970248902</v>
      </c>
      <c r="F24" s="1" t="n">
        <f aca="false">E24/(1+'1_输入与假设'!C10)^4</f>
        <v>63.654822</v>
      </c>
    </row>
    <row r="25" customFormat="false" ht="15" hidden="false" customHeight="true" outlineLevel="0" collapsed="false">
      <c r="B25" s="1" t="s">
        <v>36</v>
      </c>
      <c r="C25" s="1" t="n">
        <f aca="false">'2_5年预测'!H25</f>
        <v>94.5337878125</v>
      </c>
      <c r="D25" s="47" t="n">
        <f aca="false">'1_输入与假设'!C43</f>
        <v>6</v>
      </c>
      <c r="E25" s="1" t="n">
        <f aca="false">C25*D25</f>
        <v>567.202726875</v>
      </c>
      <c r="F25" s="1" t="n">
        <f aca="false">E25/(1+'1_输入与假设'!C10)^4</f>
        <v>387.407094375384</v>
      </c>
    </row>
    <row r="26" customFormat="false" ht="15" hidden="false" customHeight="true" outlineLevel="0" collapsed="false">
      <c r="B26" s="1" t="s">
        <v>106</v>
      </c>
      <c r="C26" s="1" t="n">
        <f aca="false">'2_5年预测'!H26</f>
        <v>60.8007880704</v>
      </c>
      <c r="D26" s="47" t="n">
        <f aca="false">'1_输入与假设'!C44</f>
        <v>5</v>
      </c>
      <c r="E26" s="1" t="n">
        <f aca="false">C26*D26</f>
        <v>304.003940352</v>
      </c>
      <c r="F26" s="1" t="n">
        <f aca="false">E26/(1+'1_输入与假设'!C10)^4</f>
        <v>207.638781744416</v>
      </c>
    </row>
    <row r="27" customFormat="false" ht="15" hidden="false" customHeight="true" outlineLevel="0" collapsed="false">
      <c r="B27" s="1" t="s">
        <v>40</v>
      </c>
      <c r="C27" s="1" t="n">
        <f aca="false">'2_5年预测'!H27</f>
        <v>126.38864</v>
      </c>
      <c r="D27" s="47" t="n">
        <f aca="false">'1_输入与假设'!C45</f>
        <v>12</v>
      </c>
      <c r="E27" s="1" t="n">
        <f aca="false">C27*D27</f>
        <v>1516.66368</v>
      </c>
      <c r="F27" s="1" t="n">
        <f aca="false">E27/(1+'1_输入与假设'!C10)^4</f>
        <v>1035.9017007035</v>
      </c>
    </row>
    <row r="28" customFormat="false" ht="15" hidden="false" customHeight="true" outlineLevel="0" collapsed="false">
      <c r="B28" s="1" t="s">
        <v>42</v>
      </c>
      <c r="C28" s="1" t="n">
        <f aca="false">'2_5年预测'!H28</f>
        <v>15.1875</v>
      </c>
      <c r="D28" s="1" t="n">
        <f aca="false">'1_输入与假设'!C46</f>
        <v>5</v>
      </c>
      <c r="E28" s="1" t="n">
        <f aca="false">C28*D28</f>
        <v>75.9375</v>
      </c>
      <c r="F28" s="1" t="n">
        <f aca="false">E28/(1+'1_输入与假设'!C10)^4</f>
        <v>51.866334266785</v>
      </c>
    </row>
    <row r="29" customFormat="false" ht="15" hidden="false" customHeight="true" outlineLevel="0" collapsed="false">
      <c r="B29" s="43" t="s">
        <v>121</v>
      </c>
      <c r="E29" s="15" t="n">
        <f aca="false">SUM(E21:E28)</f>
        <v>5306.2725546172</v>
      </c>
      <c r="F29" s="15" t="n">
        <f aca="false">SUM(F21:F28)</f>
        <v>3624.25555263793</v>
      </c>
    </row>
    <row r="31" customFormat="false" ht="15" hidden="false" customHeight="true" outlineLevel="0" collapsed="false">
      <c r="B31" s="45" t="s">
        <v>122</v>
      </c>
    </row>
    <row r="33" customFormat="false" ht="15" hidden="false" customHeight="true" outlineLevel="0" collapsed="false">
      <c r="B33" s="18" t="s">
        <v>23</v>
      </c>
      <c r="C33" s="46" t="s">
        <v>115</v>
      </c>
      <c r="D33" s="18" t="s">
        <v>116</v>
      </c>
      <c r="E33" s="46" t="s">
        <v>117</v>
      </c>
      <c r="F33" s="18" t="s">
        <v>118</v>
      </c>
    </row>
    <row r="34" customFormat="false" ht="15" hidden="false" customHeight="true" outlineLevel="0" collapsed="false">
      <c r="B34" s="1" t="s">
        <v>104</v>
      </c>
      <c r="C34" s="1" t="n">
        <f aca="false">'2_5年预测'!H34</f>
        <v>280.51034614</v>
      </c>
      <c r="D34" s="47" t="n">
        <f aca="false">'1_输入与假设'!C39</f>
        <v>5</v>
      </c>
      <c r="E34" s="1" t="n">
        <f aca="false">C34*D34</f>
        <v>1402.5517307</v>
      </c>
      <c r="F34" s="1" t="n">
        <f aca="false">E34/(1+'1_输入与假设'!C10)^4</f>
        <v>957.961703913667</v>
      </c>
    </row>
    <row r="35" customFormat="false" ht="15" hidden="false" customHeight="true" outlineLevel="0" collapsed="false">
      <c r="B35" s="1" t="s">
        <v>105</v>
      </c>
      <c r="C35" s="1" t="n">
        <f aca="false">'2_5年预测'!H35</f>
        <v>232.611851875</v>
      </c>
      <c r="D35" s="47" t="n">
        <f aca="false">'1_输入与假设'!C40</f>
        <v>8</v>
      </c>
      <c r="E35" s="1" t="n">
        <f aca="false">C35*D35</f>
        <v>1860.894815</v>
      </c>
      <c r="F35" s="1" t="n">
        <f aca="false">E35/(1+'1_输入与假设'!C10)^4</f>
        <v>1271.01619766409</v>
      </c>
    </row>
    <row r="36" customFormat="false" ht="15" hidden="false" customHeight="true" outlineLevel="0" collapsed="false">
      <c r="B36" s="1" t="s">
        <v>32</v>
      </c>
      <c r="C36" s="1" t="n">
        <f aca="false">'2_5年预测'!H36</f>
        <v>77.0165832960001</v>
      </c>
      <c r="D36" s="47" t="n">
        <f aca="false">'1_输入与假设'!C41</f>
        <v>5.5</v>
      </c>
      <c r="E36" s="1" t="n">
        <f aca="false">C36*D36</f>
        <v>423.591208128</v>
      </c>
      <c r="F36" s="1" t="n">
        <f aca="false">E36/(1+'1_输入与假设'!C10)^4</f>
        <v>289.31849472577</v>
      </c>
    </row>
    <row r="37" customFormat="false" ht="15" hidden="false" customHeight="true" outlineLevel="0" collapsed="false">
      <c r="B37" s="1" t="s">
        <v>34</v>
      </c>
      <c r="C37" s="1" t="n">
        <f aca="false">'2_5年预测'!H37</f>
        <v>30.9142624896</v>
      </c>
      <c r="D37" s="47" t="n">
        <f aca="false">'1_输入与假设'!C42</f>
        <v>3.5</v>
      </c>
      <c r="E37" s="1" t="n">
        <f aca="false">C37*D37</f>
        <v>108.1999187136</v>
      </c>
      <c r="F37" s="1" t="n">
        <f aca="false">E37/(1+'1_输入与假设'!C10)^4</f>
        <v>73.9020003507957</v>
      </c>
    </row>
    <row r="38" customFormat="false" ht="15" hidden="false" customHeight="true" outlineLevel="0" collapsed="false">
      <c r="B38" s="1" t="s">
        <v>36</v>
      </c>
      <c r="C38" s="1" t="n">
        <f aca="false">'2_5年预测'!H38</f>
        <v>116.95104</v>
      </c>
      <c r="D38" s="47" t="n">
        <f aca="false">'1_输入与假设'!C43</f>
        <v>6</v>
      </c>
      <c r="E38" s="1" t="n">
        <f aca="false">C38*D38</f>
        <v>701.70624</v>
      </c>
      <c r="F38" s="1" t="n">
        <f aca="false">E38/(1+'1_输入与假设'!C10)^4</f>
        <v>479.274803633631</v>
      </c>
    </row>
    <row r="39" customFormat="false" ht="15" hidden="false" customHeight="true" outlineLevel="0" collapsed="false">
      <c r="B39" s="1" t="s">
        <v>106</v>
      </c>
      <c r="C39" s="1" t="n">
        <f aca="false">'2_5年预测'!H39</f>
        <v>72.4617871872</v>
      </c>
      <c r="D39" s="47" t="n">
        <f aca="false">'1_输入与假设'!C44</f>
        <v>5</v>
      </c>
      <c r="E39" s="1" t="n">
        <f aca="false">C39*D39</f>
        <v>362.308935936</v>
      </c>
      <c r="F39" s="1" t="n">
        <f aca="false">E39/(1+'1_输入与假设'!C10)^4</f>
        <v>247.461878243289</v>
      </c>
    </row>
    <row r="40" customFormat="false" ht="15" hidden="false" customHeight="true" outlineLevel="0" collapsed="false">
      <c r="B40" s="1" t="s">
        <v>40</v>
      </c>
      <c r="C40" s="1" t="n">
        <f aca="false">'2_5年预测'!H40</f>
        <v>178.453125</v>
      </c>
      <c r="D40" s="47" t="n">
        <f aca="false">'1_输入与假设'!C45</f>
        <v>12</v>
      </c>
      <c r="E40" s="1" t="n">
        <f aca="false">C40*D40</f>
        <v>2141.4375</v>
      </c>
      <c r="F40" s="1" t="n">
        <f aca="false">E40/(1+'1_输入与假设'!C10)^4</f>
        <v>1462.63062632334</v>
      </c>
    </row>
    <row r="41" customFormat="false" ht="15" hidden="false" customHeight="true" outlineLevel="0" collapsed="false">
      <c r="B41" s="1" t="s">
        <v>42</v>
      </c>
      <c r="C41" s="1" t="n">
        <f aca="false">'2_5年预测'!H41</f>
        <v>37.79136</v>
      </c>
      <c r="D41" s="1" t="n">
        <f aca="false">'1_输入与假设'!C46</f>
        <v>5</v>
      </c>
      <c r="E41" s="1" t="n">
        <f aca="false">C41*D41</f>
        <v>188.9568</v>
      </c>
      <c r="F41" s="1" t="n">
        <f aca="false">E41/(1+'1_输入与假设'!C10)^4</f>
        <v>129.060036882727</v>
      </c>
    </row>
    <row r="42" customFormat="false" ht="15" hidden="false" customHeight="true" outlineLevel="0" collapsed="false">
      <c r="B42" s="43" t="s">
        <v>123</v>
      </c>
      <c r="E42" s="15" t="n">
        <f aca="false">SUM(E34:E41)</f>
        <v>7189.6471484776</v>
      </c>
      <c r="F42" s="15" t="n">
        <f aca="false">SUM(F34:F41)</f>
        <v>4910.62574173731</v>
      </c>
    </row>
    <row r="44" customFormat="false" ht="15" hidden="false" customHeight="true" outlineLevel="0" collapsed="false">
      <c r="B44" s="38" t="s">
        <v>124</v>
      </c>
    </row>
    <row r="46" customFormat="false" ht="15" hidden="false" customHeight="true" outlineLevel="0" collapsed="false">
      <c r="B46" s="18" t="s">
        <v>125</v>
      </c>
      <c r="C46" s="18" t="s">
        <v>77</v>
      </c>
      <c r="D46" s="46" t="s">
        <v>126</v>
      </c>
      <c r="E46" s="18" t="s">
        <v>127</v>
      </c>
      <c r="F46" s="18" t="s">
        <v>128</v>
      </c>
    </row>
    <row r="47" customFormat="false" ht="15" hidden="false" customHeight="true" outlineLevel="0" collapsed="false">
      <c r="B47" s="1" t="s">
        <v>74</v>
      </c>
      <c r="C47" s="48" t="n">
        <f aca="false">'1_输入与假设'!C49</f>
        <v>0.25</v>
      </c>
      <c r="D47" s="1" t="n">
        <f aca="false">E16</f>
        <v>4101.9275491386</v>
      </c>
      <c r="E47" s="1" t="n">
        <f aca="false">F16</f>
        <v>2801.67170899433</v>
      </c>
      <c r="F47" s="1" t="n">
        <f aca="false">C47*E47</f>
        <v>700.417927248583</v>
      </c>
    </row>
    <row r="48" customFormat="false" ht="15" hidden="false" customHeight="true" outlineLevel="0" collapsed="false">
      <c r="B48" s="1" t="s">
        <v>75</v>
      </c>
      <c r="C48" s="48" t="n">
        <f aca="false">'1_输入与假设'!D49</f>
        <v>0.45</v>
      </c>
      <c r="D48" s="1" t="n">
        <f aca="false">E29</f>
        <v>5306.2725546172</v>
      </c>
      <c r="E48" s="1" t="n">
        <f aca="false">F29</f>
        <v>3624.25555263793</v>
      </c>
      <c r="F48" s="1" t="n">
        <f aca="false">C48*E48</f>
        <v>1630.91499868707</v>
      </c>
    </row>
    <row r="49" customFormat="false" ht="15" hidden="false" customHeight="true" outlineLevel="0" collapsed="false">
      <c r="B49" s="1" t="s">
        <v>76</v>
      </c>
      <c r="C49" s="48" t="n">
        <f aca="false">'1_输入与假设'!E49</f>
        <v>0.3</v>
      </c>
      <c r="D49" s="1" t="n">
        <f aca="false">E42</f>
        <v>7189.6471484776</v>
      </c>
      <c r="E49" s="1" t="n">
        <f aca="false">F42</f>
        <v>4910.62574173731</v>
      </c>
      <c r="F49" s="1" t="n">
        <f aca="false">C49*E49</f>
        <v>1473.18772252119</v>
      </c>
    </row>
    <row r="50" customFormat="false" ht="15" hidden="false" customHeight="true" outlineLevel="0" collapsed="false">
      <c r="B50" s="15" t="s">
        <v>129</v>
      </c>
      <c r="F50" s="49" t="n">
        <f aca="false">SUM(F47:F49)</f>
        <v>3804.52064845685</v>
      </c>
    </row>
    <row r="52" customFormat="false" ht="15" hidden="false" customHeight="true" outlineLevel="0" collapsed="false">
      <c r="B52" s="45" t="s">
        <v>130</v>
      </c>
      <c r="F52" s="50" t="n">
        <f aca="false">'6_期权价值'!F20</f>
        <v>27.8172752730501</v>
      </c>
    </row>
    <row r="53" customFormat="false" ht="15" hidden="false" customHeight="true" outlineLevel="0" collapsed="false">
      <c r="B53" s="38" t="s">
        <v>131</v>
      </c>
      <c r="F53" s="51" t="n">
        <f aca="false">F50+F52</f>
        <v>3832.3379237299</v>
      </c>
    </row>
    <row r="55" customFormat="false" ht="15" hidden="false" customHeight="true" outlineLevel="0" collapsed="false">
      <c r="B55" s="11" t="s">
        <v>132</v>
      </c>
      <c r="F55" s="42" t="n">
        <f aca="false">'1_输入与假设'!C9</f>
        <v>4785.82</v>
      </c>
    </row>
    <row r="56" customFormat="false" ht="15" hidden="false" customHeight="true" outlineLevel="0" collapsed="false">
      <c r="B56" s="11" t="s">
        <v>133</v>
      </c>
      <c r="F56" s="1" t="n">
        <f aca="false">F55/F50-1</f>
        <v>0.257929826702657</v>
      </c>
    </row>
    <row r="57" customFormat="false" ht="15" hidden="false" customHeight="true" outlineLevel="0" collapsed="false">
      <c r="B57" s="15" t="s">
        <v>134</v>
      </c>
      <c r="F57" s="52" t="n">
        <f aca="false">F55/F53-1</f>
        <v>0.248799060846416</v>
      </c>
    </row>
    <row r="60" customFormat="false" ht="15" hidden="false" customHeight="true" outlineLevel="0" collapsed="false">
      <c r="B60" s="53" t="s">
        <v>135</v>
      </c>
    </row>
    <row r="61" customFormat="false" ht="15" hidden="false" customHeight="true" outlineLevel="0" collapsed="false">
      <c r="B61" s="11" t="s">
        <v>136</v>
      </c>
    </row>
    <row r="63" customFormat="false" ht="15" hidden="false" customHeight="true" outlineLevel="0" collapsed="false">
      <c r="B63" s="18" t="s">
        <v>125</v>
      </c>
      <c r="C63" s="46" t="s">
        <v>126</v>
      </c>
      <c r="D63" s="46" t="s">
        <v>137</v>
      </c>
      <c r="E63" s="18" t="s">
        <v>138</v>
      </c>
      <c r="F63" s="18" t="s">
        <v>139</v>
      </c>
    </row>
    <row r="64" customFormat="false" ht="15" hidden="false" customHeight="true" outlineLevel="0" collapsed="false">
      <c r="B64" s="1" t="s">
        <v>74</v>
      </c>
      <c r="C64" s="1" t="n">
        <f aca="false">E16</f>
        <v>4101.9275491386</v>
      </c>
      <c r="D64" s="1" t="n">
        <f aca="false">'6_期权价值'!F20*(1+'1_输入与假设'!C10)^4</f>
        <v>40.7272727272727</v>
      </c>
      <c r="E64" s="1" t="n">
        <f aca="false">C64+D64</f>
        <v>4142.65482186587</v>
      </c>
      <c r="F64" s="1" t="n">
        <f aca="false">E64/('1_输入与假设'!C8*(1-'1_输入与假设'!C12)^5)/(1+'1_输入与假设'!C10)^4</f>
        <v>258.355888403956</v>
      </c>
    </row>
    <row r="65" customFormat="false" ht="15" hidden="false" customHeight="true" outlineLevel="0" collapsed="false">
      <c r="B65" s="1" t="s">
        <v>75</v>
      </c>
      <c r="C65" s="1" t="n">
        <f aca="false">E29</f>
        <v>5306.2725546172</v>
      </c>
      <c r="D65" s="1" t="n">
        <f aca="false">'6_期权价值'!F20*(1+'1_输入与假设'!C10)^4</f>
        <v>40.7272727272727</v>
      </c>
      <c r="E65" s="1" t="n">
        <f aca="false">C65+D65</f>
        <v>5346.99982734447</v>
      </c>
      <c r="F65" s="1" t="n">
        <f aca="false">E65/('1_输入与假设'!C8*(1-'1_输入与假设'!C12)^5)/(1+'1_输入与假设'!C10)^4</f>
        <v>333.46463803788</v>
      </c>
    </row>
    <row r="66" customFormat="false" ht="15" hidden="false" customHeight="true" outlineLevel="0" collapsed="false">
      <c r="B66" s="1" t="s">
        <v>76</v>
      </c>
      <c r="C66" s="1" t="n">
        <f aca="false">E42</f>
        <v>7189.6471484776</v>
      </c>
      <c r="D66" s="1" t="n">
        <f aca="false">'6_期权价值'!F20*(1+'1_输入与假设'!C10)^4</f>
        <v>40.7272727272727</v>
      </c>
      <c r="E66" s="1" t="n">
        <f aca="false">C66+D66</f>
        <v>7230.37442120487</v>
      </c>
      <c r="F66" s="1" t="n">
        <f aca="false">E66/('1_输入与假设'!C8*(1-'1_输入与假设'!C12)^5)/(1+'1_输入与假设'!C10)^4</f>
        <v>450.92094017195</v>
      </c>
    </row>
    <row r="68" customFormat="false" ht="15" hidden="false" customHeight="true" outlineLevel="0" collapsed="false">
      <c r="B68" s="15" t="s">
        <v>140</v>
      </c>
      <c r="F68" s="49" t="n">
        <f aca="false">F64*'1_输入与假设'!C49+F65*'1_输入与假设'!D49+F66*'1_输入与假设'!E49</f>
        <v>349.92434126962</v>
      </c>
    </row>
    <row r="69" customFormat="false" ht="15" hidden="false" customHeight="true" outlineLevel="0" collapsed="false">
      <c r="B69" s="11" t="s">
        <v>141</v>
      </c>
      <c r="F69" s="54" t="n">
        <f aca="false">'1_输入与假设'!C7</f>
        <v>395</v>
      </c>
    </row>
    <row r="70" customFormat="false" ht="15" hidden="false" customHeight="true" outlineLevel="0" collapsed="false">
      <c r="B70" s="15" t="s">
        <v>142</v>
      </c>
      <c r="F70" s="52" t="n">
        <f aca="false">F69/F68-1</f>
        <v>0.128815442123384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7" min="3" style="1" width="14"/>
    <col collapsed="false" customWidth="true" hidden="false" outlineLevel="0" max="8" min="8" style="1" width="24"/>
  </cols>
  <sheetData>
    <row r="2" customFormat="false" ht="17.25" hidden="false" customHeight="true" outlineLevel="0" collapsed="false">
      <c r="B2" s="55" t="s">
        <v>143</v>
      </c>
      <c r="C2" s="55"/>
      <c r="D2" s="55"/>
      <c r="E2" s="55"/>
      <c r="F2" s="55"/>
      <c r="G2" s="55"/>
      <c r="H2" s="55"/>
      <c r="I2" s="55"/>
    </row>
    <row r="3" customFormat="false" ht="15" hidden="false" customHeight="true" outlineLevel="0" collapsed="false">
      <c r="B3" s="3" t="s">
        <v>144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145</v>
      </c>
      <c r="C5" s="4"/>
      <c r="D5" s="4"/>
      <c r="E5" s="4"/>
      <c r="F5" s="4"/>
      <c r="G5" s="4"/>
      <c r="H5" s="4"/>
      <c r="I5" s="4"/>
    </row>
    <row r="7" customFormat="false" ht="15" hidden="false" customHeight="true" outlineLevel="0" collapsed="false">
      <c r="B7" s="5" t="s">
        <v>3</v>
      </c>
      <c r="C7" s="56" t="n">
        <f aca="false">'1_输入与假设'!C7</f>
        <v>395</v>
      </c>
    </row>
    <row r="8" customFormat="false" ht="15" hidden="false" customHeight="true" outlineLevel="0" collapsed="false">
      <c r="B8" s="5" t="s">
        <v>9</v>
      </c>
      <c r="C8" s="10" t="n">
        <f aca="false">'1_输入与假设'!C9</f>
        <v>4785.82</v>
      </c>
    </row>
    <row r="9" customFormat="false" ht="15" hidden="false" customHeight="true" outlineLevel="0" collapsed="false">
      <c r="B9" s="19" t="s">
        <v>146</v>
      </c>
      <c r="C9" s="10" t="n">
        <f aca="false">'3_SOTP估值'!F16</f>
        <v>2801.67170899433</v>
      </c>
    </row>
    <row r="10" customFormat="false" ht="15" hidden="false" customHeight="true" outlineLevel="0" collapsed="false">
      <c r="B10" s="19" t="s">
        <v>147</v>
      </c>
      <c r="C10" s="10" t="n">
        <f aca="false">'3_SOTP估值'!F29</f>
        <v>3624.25555263793</v>
      </c>
    </row>
    <row r="11" customFormat="false" ht="15" hidden="false" customHeight="true" outlineLevel="0" collapsed="false">
      <c r="B11" s="19" t="s">
        <v>148</v>
      </c>
      <c r="C11" s="10" t="n">
        <f aca="false">'3_SOTP估值'!F42</f>
        <v>4910.62574173731</v>
      </c>
    </row>
    <row r="12" customFormat="false" ht="15" hidden="false" customHeight="true" outlineLevel="0" collapsed="false">
      <c r="B12" s="5" t="s">
        <v>149</v>
      </c>
      <c r="C12" s="10" t="n">
        <f aca="false">'3_SOTP估值'!F50</f>
        <v>3804.52064845685</v>
      </c>
    </row>
    <row r="13" customFormat="false" ht="15" hidden="false" customHeight="true" outlineLevel="0" collapsed="false">
      <c r="B13" s="5" t="s">
        <v>150</v>
      </c>
      <c r="C13" s="57" t="n">
        <f aca="false">'1_输入与假设'!C10</f>
        <v>0.1</v>
      </c>
    </row>
    <row r="15" customFormat="false" ht="15" hidden="false" customHeight="true" outlineLevel="0" collapsed="false">
      <c r="B15" s="4" t="s">
        <v>151</v>
      </c>
      <c r="C15" s="4"/>
      <c r="D15" s="4"/>
      <c r="E15" s="4"/>
      <c r="F15" s="4"/>
      <c r="G15" s="4"/>
      <c r="H15" s="4"/>
      <c r="I15" s="4"/>
    </row>
    <row r="16" customFormat="false" ht="15" hidden="false" customHeight="false" outlineLevel="0" collapsed="false">
      <c r="B16" s="58" t="s">
        <v>152</v>
      </c>
    </row>
    <row r="17" customFormat="false" ht="15" hidden="false" customHeight="true" outlineLevel="0" collapsed="false">
      <c r="B17" s="33" t="s">
        <v>153</v>
      </c>
      <c r="C17" s="32" t="s">
        <v>154</v>
      </c>
      <c r="D17" s="32" t="s">
        <v>155</v>
      </c>
      <c r="E17" s="32" t="s">
        <v>156</v>
      </c>
      <c r="F17" s="32" t="s">
        <v>157</v>
      </c>
      <c r="G17" s="33" t="s">
        <v>158</v>
      </c>
      <c r="H17" s="33" t="s">
        <v>159</v>
      </c>
    </row>
    <row r="18" customFormat="false" ht="15" hidden="false" customHeight="true" outlineLevel="0" collapsed="false">
      <c r="B18" s="59" t="n">
        <f aca="false">$C$8*0.7</f>
        <v>3350.074</v>
      </c>
      <c r="C18" s="60" t="n">
        <v>-0.3</v>
      </c>
      <c r="D18" s="61" t="n">
        <f aca="false">(('3_SOTP估值'!$E$16+'6_期权价值'!$F$20*(1+'1_输入与假设'!$C$10)^4)/B18)^(1/4)-1</f>
        <v>0.0545230739634182</v>
      </c>
      <c r="E18" s="61" t="n">
        <f aca="false">(('3_SOTP估值'!$E$29+'6_期权价值'!$F$20*(1+'1_输入与假设'!$C$10)^4)/B18)^(1/4)-1</f>
        <v>0.123993869340016</v>
      </c>
      <c r="F18" s="61" t="n">
        <f aca="false">(('3_SOTP估值'!$E$42+'6_期权价值'!$F$20*(1+'1_输入与假设'!$C$10)^4)/B18)^(1/4)-1</f>
        <v>0.21206691523432</v>
      </c>
      <c r="G18" s="61" t="n">
        <f aca="false">D18*'1_输入与假设'!$C$49+E18*'1_输入与假设'!$D$49+F18*'1_输入与假设'!$E$49</f>
        <v>0.133048084264158</v>
      </c>
      <c r="H18" s="62" t="s">
        <v>160</v>
      </c>
    </row>
    <row r="19" customFormat="false" ht="15" hidden="false" customHeight="true" outlineLevel="0" collapsed="false">
      <c r="B19" s="59" t="n">
        <f aca="false">$C$8*0.85</f>
        <v>4067.947</v>
      </c>
      <c r="C19" s="60" t="n">
        <v>-0.15</v>
      </c>
      <c r="D19" s="61" t="n">
        <f aca="false">(('3_SOTP估值'!$E$16+'6_期权价值'!$F$20*(1+'1_输入与假设'!$C$10)^4)/B19)^(1/4)-1</f>
        <v>0.00455996364919664</v>
      </c>
      <c r="E19" s="61" t="n">
        <f aca="false">(('3_SOTP估值'!$E$29+'6_期权价值'!$F$20*(1+'1_输入与假设'!$C$10)^4)/B19)^(1/4)-1</f>
        <v>0.0707392454508742</v>
      </c>
      <c r="F19" s="61" t="n">
        <f aca="false">(('3_SOTP估值'!$E$42+'6_期权价值'!$F$20*(1+'1_输入与假设'!$C$10)^4)/B19)^(1/4)-1</f>
        <v>0.154639406544101</v>
      </c>
      <c r="G19" s="61" t="n">
        <f aca="false">D19*'1_输入与假设'!$C$49+E19*'1_输入与假设'!$D$49+F19*'1_输入与假设'!$E$49</f>
        <v>0.0793644733284227</v>
      </c>
      <c r="H19" s="62" t="s">
        <v>161</v>
      </c>
    </row>
    <row r="20" customFormat="false" ht="15" hidden="false" customHeight="true" outlineLevel="0" collapsed="false">
      <c r="B20" s="63" t="n">
        <f aca="false">$C$8*1</f>
        <v>4785.82</v>
      </c>
      <c r="C20" s="64" t="n">
        <v>0</v>
      </c>
      <c r="D20" s="65" t="n">
        <f aca="false">(('3_SOTP估值'!$E$16+'6_期权价值'!$F$20*(1+'1_输入与假设'!$C$10)^4)/B20)^(1/4)-1</f>
        <v>-0.0354370037716104</v>
      </c>
      <c r="E20" s="65" t="n">
        <f aca="false">(('3_SOTP估值'!$E$29+'6_期权价值'!$F$20*(1+'1_输入与假设'!$C$10)^4)/B20)^(1/4)-1</f>
        <v>0.0281073227521975</v>
      </c>
      <c r="F20" s="65" t="n">
        <f aca="false">(('3_SOTP估值'!$E$42+'6_期权价值'!$F$20*(1+'1_输入与假设'!$C$10)^4)/B20)^(1/4)-1</f>
        <v>0.108666964482442</v>
      </c>
      <c r="G20" s="65" t="n">
        <f aca="false">D20*'1_输入与假设'!$C$49+E20*'1_输入与假设'!$D$49+F20*'1_输入与假设'!$E$49</f>
        <v>0.036389133640319</v>
      </c>
      <c r="H20" s="66" t="s">
        <v>162</v>
      </c>
    </row>
    <row r="21" customFormat="false" ht="15" hidden="false" customHeight="true" outlineLevel="0" collapsed="false">
      <c r="B21" s="59" t="n">
        <f aca="false">$C$8*1.15</f>
        <v>5503.693</v>
      </c>
      <c r="C21" s="60" t="n">
        <v>0.15</v>
      </c>
      <c r="D21" s="61" t="n">
        <f aca="false">(('3_SOTP估值'!$E$16+'6_期权价值'!$F$20*(1+'1_输入与假设'!$C$10)^4)/B21)^(1/4)-1</f>
        <v>-0.0685573139113945</v>
      </c>
      <c r="E21" s="61" t="n">
        <f aca="false">(('3_SOTP估值'!$E$29+'6_期权价值'!$F$20*(1+'1_输入与假设'!$C$10)^4)/B21)^(1/4)-1</f>
        <v>-0.00719491620957291</v>
      </c>
      <c r="F21" s="61" t="n">
        <f aca="false">(('3_SOTP估值'!$E$42+'6_期权价值'!$F$20*(1+'1_输入与假设'!$C$10)^4)/B21)^(1/4)-1</f>
        <v>0.070598539870498</v>
      </c>
      <c r="G21" s="61" t="n">
        <f aca="false">D21*'1_输入与假设'!$C$49+E21*'1_输入与假设'!$D$49+F21*'1_输入与假设'!$E$49</f>
        <v>0.000802521188992964</v>
      </c>
      <c r="H21" s="62" t="s">
        <v>163</v>
      </c>
    </row>
    <row r="22" customFormat="false" ht="15" hidden="false" customHeight="true" outlineLevel="0" collapsed="false">
      <c r="B22" s="59" t="n">
        <f aca="false">$C$8*1.3</f>
        <v>6221.566</v>
      </c>
      <c r="C22" s="60" t="n">
        <v>0.3</v>
      </c>
      <c r="D22" s="61" t="n">
        <f aca="false">(('3_SOTP估值'!$E$16+'6_期权价值'!$F$20*(1+'1_输入与假设'!$C$10)^4)/B22)^(1/4)-1</f>
        <v>-0.0966734833767909</v>
      </c>
      <c r="E22" s="61" t="n">
        <f aca="false">(('3_SOTP估值'!$E$29+'6_期权价值'!$F$20*(1+'1_输入与假设'!$C$10)^4)/B22)^(1/4)-1</f>
        <v>-0.0371633473313815</v>
      </c>
      <c r="F22" s="61" t="n">
        <f aca="false">(('3_SOTP估值'!$E$42+'6_期权价值'!$F$20*(1+'1_输入与假设'!$C$10)^4)/B22)^(1/4)-1</f>
        <v>0.0382818655050488</v>
      </c>
      <c r="G22" s="61" t="n">
        <f aca="false">D22*'1_输入与假设'!$C$49+E22*'1_输入与假设'!$D$49+F22*'1_输入与假设'!$E$49</f>
        <v>-0.0294073174918048</v>
      </c>
      <c r="H22" s="62" t="s">
        <v>164</v>
      </c>
    </row>
    <row r="23" customFormat="false" ht="15" hidden="false" customHeight="true" outlineLevel="0" collapsed="false">
      <c r="B23" s="59" t="n">
        <f aca="false">$C$8*1.5</f>
        <v>7178.73</v>
      </c>
      <c r="C23" s="60" t="n">
        <v>0.5</v>
      </c>
      <c r="D23" s="61" t="n">
        <f aca="false">(('3_SOTP估值'!$E$16+'6_期权价值'!$F$20*(1+'1_输入与假设'!$C$10)^4)/B23)^(1/4)-1</f>
        <v>-0.128418944000112</v>
      </c>
      <c r="E23" s="61" t="n">
        <f aca="false">(('3_SOTP估值'!$E$29+'6_期权价值'!$F$20*(1+'1_输入与假设'!$C$10)^4)/B23)^(1/4)-1</f>
        <v>-0.0710001632351609</v>
      </c>
      <c r="F23" s="61" t="n">
        <f aca="false">(('3_SOTP估值'!$E$42+'6_期权价值'!$F$20*(1+'1_输入与假设'!$C$10)^4)/B23)^(1/4)-1</f>
        <v>0.00179369044237965</v>
      </c>
      <c r="G23" s="61" t="n">
        <f aca="false">D23*'1_输入与假设'!$C$49+E23*'1_输入与假设'!$D$49+F23*'1_输入与假设'!$E$49</f>
        <v>-0.0635167023231365</v>
      </c>
      <c r="H23" s="62" t="s">
        <v>165</v>
      </c>
    </row>
    <row r="26" customFormat="false" ht="15" hidden="false" customHeight="true" outlineLevel="0" collapsed="false">
      <c r="B26" s="4" t="s">
        <v>166</v>
      </c>
      <c r="C26" s="4"/>
      <c r="D26" s="4"/>
      <c r="E26" s="4"/>
      <c r="F26" s="4"/>
      <c r="G26" s="4"/>
      <c r="H26" s="4"/>
      <c r="I26" s="4"/>
    </row>
    <row r="28" customFormat="false" ht="15" hidden="false" customHeight="true" outlineLevel="0" collapsed="false">
      <c r="B28" s="67" t="s">
        <v>167</v>
      </c>
      <c r="C28" s="67"/>
      <c r="D28" s="67"/>
      <c r="E28" s="67"/>
      <c r="F28" s="67"/>
      <c r="G28" s="67"/>
      <c r="H28" s="67"/>
    </row>
    <row r="29" customFormat="false" ht="15" hidden="false" customHeight="true" outlineLevel="0" collapsed="false">
      <c r="B29" s="5" t="s">
        <v>132</v>
      </c>
      <c r="C29" s="10" t="n">
        <f aca="false">$C$8</f>
        <v>4785.82</v>
      </c>
    </row>
    <row r="30" customFormat="false" ht="15" hidden="false" customHeight="true" outlineLevel="0" collapsed="false">
      <c r="B30" s="5" t="s">
        <v>168</v>
      </c>
      <c r="C30" s="68" t="str">
        <f aca="false">IF(ABS(C8-C9)&lt;ABS(C8-C10),"接近 Bear",IF(ABS(C8-C10)&lt;ABS(C8-C11),"接近 Base","接近 Bull"))</f>
        <v>接近 Bull</v>
      </c>
    </row>
    <row r="31" customFormat="false" ht="15" hidden="false" customHeight="true" outlineLevel="0" collapsed="false">
      <c r="B31" s="5" t="s">
        <v>169</v>
      </c>
      <c r="C31" s="69" t="n">
        <f aca="false">C8/C9-1</f>
        <v>0.708201565742292</v>
      </c>
    </row>
    <row r="32" customFormat="false" ht="15" hidden="false" customHeight="true" outlineLevel="0" collapsed="false">
      <c r="B32" s="5" t="s">
        <v>170</v>
      </c>
      <c r="C32" s="69" t="n">
        <f aca="false">C8/C10-1</f>
        <v>0.320497390565248</v>
      </c>
    </row>
    <row r="33" customFormat="false" ht="15" hidden="false" customHeight="true" outlineLevel="0" collapsed="false">
      <c r="B33" s="5" t="s">
        <v>171</v>
      </c>
      <c r="C33" s="69" t="n">
        <f aca="false">C8/C11-1</f>
        <v>-0.0254154456684694</v>
      </c>
    </row>
    <row r="34" customFormat="false" ht="15" hidden="false" customHeight="true" outlineLevel="0" collapsed="false">
      <c r="B34" s="5" t="s">
        <v>172</v>
      </c>
      <c r="C34" s="70" t="n">
        <f aca="false">C8/C12-1</f>
        <v>0.257929826702657</v>
      </c>
    </row>
    <row r="36" customFormat="false" ht="15" hidden="false" customHeight="true" outlineLevel="0" collapsed="false">
      <c r="B36" s="67" t="s">
        <v>173</v>
      </c>
      <c r="C36" s="67"/>
      <c r="D36" s="67"/>
      <c r="E36" s="67"/>
      <c r="F36" s="67"/>
      <c r="G36" s="67"/>
      <c r="H36" s="67"/>
    </row>
    <row r="37" customFormat="false" ht="15" hidden="false" customHeight="true" outlineLevel="0" collapsed="false">
      <c r="B37" s="33" t="s">
        <v>172</v>
      </c>
      <c r="C37" s="33" t="s">
        <v>174</v>
      </c>
      <c r="D37" s="71" t="s">
        <v>175</v>
      </c>
    </row>
    <row r="38" customFormat="false" ht="34.5" hidden="false" customHeight="true" outlineLevel="0" collapsed="false">
      <c r="B38" s="62" t="s">
        <v>176</v>
      </c>
      <c r="C38" s="72" t="s">
        <v>177</v>
      </c>
      <c r="D38" s="73" t="s">
        <v>178</v>
      </c>
    </row>
    <row r="39" customFormat="false" ht="34.5" hidden="false" customHeight="true" outlineLevel="0" collapsed="false">
      <c r="B39" s="62" t="s">
        <v>179</v>
      </c>
      <c r="C39" s="72" t="s">
        <v>180</v>
      </c>
      <c r="D39" s="73" t="s">
        <v>181</v>
      </c>
    </row>
    <row r="40" customFormat="false" ht="34.5" hidden="false" customHeight="true" outlineLevel="0" collapsed="false">
      <c r="B40" s="62" t="s">
        <v>182</v>
      </c>
      <c r="C40" s="72" t="s">
        <v>183</v>
      </c>
      <c r="D40" s="73" t="s">
        <v>184</v>
      </c>
    </row>
    <row r="41" customFormat="false" ht="34.5" hidden="false" customHeight="true" outlineLevel="0" collapsed="false">
      <c r="B41" s="62" t="s">
        <v>185</v>
      </c>
      <c r="C41" s="72" t="s">
        <v>186</v>
      </c>
      <c r="D41" s="73" t="s">
        <v>187</v>
      </c>
    </row>
    <row r="42" customFormat="false" ht="34.5" hidden="false" customHeight="true" outlineLevel="0" collapsed="false">
      <c r="B42" s="62" t="s">
        <v>188</v>
      </c>
      <c r="C42" s="72" t="s">
        <v>189</v>
      </c>
      <c r="D42" s="73" t="s">
        <v>190</v>
      </c>
    </row>
    <row r="44" customFormat="false" ht="15" hidden="false" customHeight="true" outlineLevel="0" collapsed="false">
      <c r="B44" s="4" t="s">
        <v>191</v>
      </c>
      <c r="C44" s="4"/>
      <c r="D44" s="4"/>
      <c r="E44" s="4"/>
      <c r="F44" s="4"/>
      <c r="G44" s="4"/>
      <c r="H44" s="4"/>
      <c r="I44" s="4"/>
    </row>
    <row r="46" customFormat="false" ht="17.25" hidden="false" customHeight="true" outlineLevel="0" collapsed="false">
      <c r="B46" s="74" t="str">
        <f aca="false">IF(C34&lt;-0.2,"⭐ 买入信号 - 估值显著低估",IF(C34&lt;-0.05,"✅ 合理买点 - 小幅低估",IF(C34&lt;0.05,"➖ 中性持有 - 基本 fair",IF(C34&lt;0.2,"⚠️ 警惕 - 部分透支 Bull","❌ 避免买入 - 估值显著透支"))))</f>
        <v>❌ 避免买入 - 估值显著透支</v>
      </c>
      <c r="C46" s="74"/>
      <c r="D46" s="74"/>
      <c r="E46" s="74"/>
      <c r="F46" s="74"/>
      <c r="G46" s="74"/>
      <c r="H46" s="74"/>
      <c r="I46" s="74"/>
    </row>
    <row r="50" customFormat="false" ht="15" hidden="false" customHeight="true" outlineLevel="0" collapsed="false">
      <c r="B50" s="53" t="s">
        <v>192</v>
      </c>
    </row>
    <row r="52" customFormat="false" ht="15" hidden="false" customHeight="true" outlineLevel="0" collapsed="false">
      <c r="B52" s="1" t="s">
        <v>193</v>
      </c>
      <c r="C52" s="1" t="n">
        <f aca="false">'3_SOTP估值'!F64</f>
        <v>258.355888403956</v>
      </c>
    </row>
    <row r="53" customFormat="false" ht="15" hidden="false" customHeight="true" outlineLevel="0" collapsed="false">
      <c r="B53" s="1" t="s">
        <v>194</v>
      </c>
      <c r="C53" s="1" t="n">
        <f aca="false">'3_SOTP估值'!F65</f>
        <v>333.46463803788</v>
      </c>
    </row>
    <row r="54" customFormat="false" ht="15" hidden="false" customHeight="true" outlineLevel="0" collapsed="false">
      <c r="B54" s="1" t="s">
        <v>195</v>
      </c>
      <c r="C54" s="1" t="n">
        <f aca="false">'3_SOTP估值'!F66</f>
        <v>450.92094017195</v>
      </c>
    </row>
    <row r="55" customFormat="false" ht="15" hidden="false" customHeight="true" outlineLevel="0" collapsed="false">
      <c r="B55" s="15" t="s">
        <v>196</v>
      </c>
      <c r="C55" s="49" t="n">
        <f aca="false">'3_SOTP估值'!F68</f>
        <v>349.92434126962</v>
      </c>
    </row>
    <row r="56" customFormat="false" ht="15" hidden="false" customHeight="true" outlineLevel="0" collapsed="false">
      <c r="B56" s="11" t="s">
        <v>197</v>
      </c>
      <c r="C56" s="54" t="n">
        <f aca="false">'1_输入与假设'!C7</f>
        <v>395</v>
      </c>
    </row>
    <row r="57" customFormat="false" ht="15" hidden="false" customHeight="true" outlineLevel="0" collapsed="false">
      <c r="B57" s="15" t="s">
        <v>198</v>
      </c>
      <c r="C57" s="52" t="n">
        <f aca="false">'3_SOTP估值'!F70</f>
        <v>0.128815442123384</v>
      </c>
    </row>
    <row r="59" customFormat="false" ht="15" hidden="false" customHeight="true" outlineLevel="0" collapsed="false">
      <c r="B59" s="15" t="s">
        <v>199</v>
      </c>
    </row>
    <row r="60" customFormat="false" ht="15" hidden="false" customHeight="true" outlineLevel="0" collapsed="false">
      <c r="B60" s="11" t="s">
        <v>200</v>
      </c>
      <c r="C60" s="75" t="n">
        <f aca="false">'3_SOTP估值'!F57</f>
        <v>0.248799060846416</v>
      </c>
    </row>
    <row r="61" customFormat="false" ht="15" hidden="false" customHeight="true" outlineLevel="0" collapsed="false">
      <c r="B61" s="11" t="s">
        <v>201</v>
      </c>
      <c r="C61" s="1" t="n">
        <f aca="false">'3_SOTP估值'!F70</f>
        <v>0.128815442123384</v>
      </c>
    </row>
    <row r="62" customFormat="false" ht="15" hidden="false" customHeight="true" outlineLevel="0" collapsed="false">
      <c r="B62" s="11" t="s">
        <v>202</v>
      </c>
      <c r="C62" s="76" t="n">
        <f aca="false">C60-C61</f>
        <v>0.119983618723032</v>
      </c>
    </row>
  </sheetData>
  <mergeCells count="9">
    <mergeCell ref="B2:I2"/>
    <mergeCell ref="B3:I3"/>
    <mergeCell ref="B5:I5"/>
    <mergeCell ref="B15:I15"/>
    <mergeCell ref="B26:I26"/>
    <mergeCell ref="B28:H28"/>
    <mergeCell ref="B36:H36"/>
    <mergeCell ref="B44:I44"/>
    <mergeCell ref="B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10" min="3" style="1" width="12"/>
    <col collapsed="false" customWidth="true" hidden="false" outlineLevel="0" max="11" min="11" style="1" width="25"/>
  </cols>
  <sheetData>
    <row r="2" customFormat="false" ht="17.25" hidden="false" customHeight="true" outlineLevel="0" collapsed="false">
      <c r="B2" s="55" t="s">
        <v>203</v>
      </c>
      <c r="C2" s="55"/>
      <c r="D2" s="55"/>
      <c r="E2" s="55"/>
      <c r="F2" s="55"/>
      <c r="G2" s="55"/>
      <c r="H2" s="55"/>
      <c r="I2" s="55"/>
      <c r="J2" s="55"/>
      <c r="K2" s="55"/>
    </row>
    <row r="3" customFormat="false" ht="15" hidden="false" customHeight="true" outlineLevel="0" collapsed="false">
      <c r="B3" s="3" t="s">
        <v>204</v>
      </c>
      <c r="C3" s="3"/>
      <c r="D3" s="3"/>
      <c r="E3" s="3"/>
      <c r="F3" s="3"/>
      <c r="G3" s="3"/>
      <c r="H3" s="3"/>
      <c r="I3" s="3"/>
      <c r="J3" s="3"/>
      <c r="K3" s="3"/>
    </row>
    <row r="5" customFormat="false" ht="15" hidden="false" customHeight="true" outlineLevel="0" collapsed="false">
      <c r="B5" s="33" t="s">
        <v>205</v>
      </c>
      <c r="C5" s="33" t="s">
        <v>85</v>
      </c>
      <c r="D5" s="32" t="s">
        <v>206</v>
      </c>
      <c r="E5" s="32" t="s">
        <v>207</v>
      </c>
      <c r="F5" s="32" t="s">
        <v>208</v>
      </c>
      <c r="G5" s="32" t="s">
        <v>209</v>
      </c>
      <c r="H5" s="32" t="s">
        <v>210</v>
      </c>
      <c r="I5" s="32" t="s">
        <v>42</v>
      </c>
      <c r="J5" s="33" t="s">
        <v>211</v>
      </c>
      <c r="K5" s="33" t="s">
        <v>212</v>
      </c>
    </row>
    <row r="6" customFormat="false" ht="15" hidden="false" customHeight="true" outlineLevel="0" collapsed="false">
      <c r="B6" s="19" t="s">
        <v>213</v>
      </c>
      <c r="C6" s="77"/>
      <c r="D6" s="20"/>
      <c r="E6" s="20"/>
      <c r="F6" s="20"/>
      <c r="G6" s="20"/>
      <c r="H6" s="20"/>
      <c r="I6" s="20"/>
      <c r="J6" s="20"/>
      <c r="K6" s="77"/>
    </row>
    <row r="7" customFormat="false" ht="15" hidden="false" customHeight="true" outlineLevel="0" collapsed="false">
      <c r="B7" s="19" t="s">
        <v>214</v>
      </c>
      <c r="C7" s="77"/>
      <c r="D7" s="20"/>
      <c r="E7" s="20"/>
      <c r="F7" s="20"/>
      <c r="G7" s="20"/>
      <c r="H7" s="20"/>
      <c r="I7" s="20"/>
      <c r="J7" s="20"/>
      <c r="K7" s="77"/>
    </row>
    <row r="8" customFormat="false" ht="15" hidden="false" customHeight="true" outlineLevel="0" collapsed="false">
      <c r="B8" s="19" t="s">
        <v>215</v>
      </c>
      <c r="C8" s="77"/>
      <c r="D8" s="20"/>
      <c r="E8" s="20"/>
      <c r="F8" s="20"/>
      <c r="G8" s="20"/>
      <c r="H8" s="20"/>
      <c r="I8" s="20"/>
      <c r="J8" s="20"/>
      <c r="K8" s="77"/>
    </row>
    <row r="9" customFormat="false" ht="15" hidden="false" customHeight="true" outlineLevel="0" collapsed="false">
      <c r="B9" s="19" t="s">
        <v>216</v>
      </c>
      <c r="C9" s="77"/>
      <c r="D9" s="20"/>
      <c r="E9" s="20"/>
      <c r="F9" s="20"/>
      <c r="G9" s="20"/>
      <c r="H9" s="20"/>
      <c r="I9" s="20"/>
      <c r="J9" s="20"/>
      <c r="K9" s="77"/>
    </row>
    <row r="10" customFormat="false" ht="15" hidden="false" customHeight="true" outlineLevel="0" collapsed="false">
      <c r="B10" s="19" t="s">
        <v>217</v>
      </c>
      <c r="C10" s="77"/>
      <c r="D10" s="20"/>
      <c r="E10" s="20"/>
      <c r="F10" s="20"/>
      <c r="G10" s="20"/>
      <c r="H10" s="20"/>
      <c r="I10" s="20"/>
      <c r="J10" s="20"/>
      <c r="K10" s="77"/>
    </row>
    <row r="11" customFormat="false" ht="15" hidden="false" customHeight="true" outlineLevel="0" collapsed="false">
      <c r="B11" s="19" t="s">
        <v>218</v>
      </c>
      <c r="C11" s="77"/>
      <c r="D11" s="20"/>
      <c r="E11" s="20"/>
      <c r="F11" s="20"/>
      <c r="G11" s="20"/>
      <c r="H11" s="20"/>
      <c r="I11" s="20"/>
      <c r="J11" s="20"/>
      <c r="K11" s="77"/>
    </row>
    <row r="12" customFormat="false" ht="15" hidden="false" customHeight="true" outlineLevel="0" collapsed="false">
      <c r="B12" s="19" t="s">
        <v>219</v>
      </c>
      <c r="C12" s="77"/>
      <c r="D12" s="20"/>
      <c r="E12" s="20"/>
      <c r="F12" s="20"/>
      <c r="G12" s="20"/>
      <c r="H12" s="20"/>
      <c r="I12" s="20"/>
      <c r="J12" s="20"/>
      <c r="K12" s="77"/>
    </row>
    <row r="13" customFormat="false" ht="15" hidden="false" customHeight="true" outlineLevel="0" collapsed="false">
      <c r="B13" s="19" t="s">
        <v>220</v>
      </c>
      <c r="C13" s="77"/>
      <c r="D13" s="20"/>
      <c r="E13" s="20"/>
      <c r="F13" s="20"/>
      <c r="G13" s="20"/>
      <c r="H13" s="20"/>
      <c r="I13" s="20"/>
      <c r="J13" s="20"/>
      <c r="K13" s="77"/>
    </row>
    <row r="14" customFormat="false" ht="15" hidden="false" customHeight="true" outlineLevel="0" collapsed="false">
      <c r="B14" s="19" t="s">
        <v>221</v>
      </c>
      <c r="C14" s="77"/>
      <c r="D14" s="20"/>
      <c r="E14" s="20"/>
      <c r="F14" s="20"/>
      <c r="G14" s="20"/>
      <c r="H14" s="20"/>
      <c r="I14" s="20"/>
      <c r="J14" s="20"/>
      <c r="K14" s="77"/>
    </row>
    <row r="15" customFormat="false" ht="15" hidden="false" customHeight="true" outlineLevel="0" collapsed="false">
      <c r="B15" s="19" t="s">
        <v>222</v>
      </c>
      <c r="C15" s="77"/>
      <c r="D15" s="20"/>
      <c r="E15" s="20"/>
      <c r="F15" s="20"/>
      <c r="G15" s="20"/>
      <c r="H15" s="20"/>
      <c r="I15" s="20"/>
      <c r="J15" s="20"/>
      <c r="K15" s="77"/>
    </row>
    <row r="16" customFormat="false" ht="15" hidden="false" customHeight="true" outlineLevel="0" collapsed="false">
      <c r="B16" s="19" t="s">
        <v>223</v>
      </c>
      <c r="C16" s="77"/>
      <c r="D16" s="20"/>
      <c r="E16" s="20"/>
      <c r="F16" s="20"/>
      <c r="G16" s="20"/>
      <c r="H16" s="20"/>
      <c r="I16" s="20"/>
      <c r="J16" s="20"/>
      <c r="K16" s="77"/>
    </row>
    <row r="17" customFormat="false" ht="15" hidden="false" customHeight="true" outlineLevel="0" collapsed="false">
      <c r="B17" s="19" t="s">
        <v>224</v>
      </c>
      <c r="C17" s="77"/>
      <c r="D17" s="20"/>
      <c r="E17" s="20"/>
      <c r="F17" s="20"/>
      <c r="G17" s="20"/>
      <c r="H17" s="20"/>
      <c r="I17" s="20"/>
      <c r="J17" s="20"/>
      <c r="K17" s="77"/>
    </row>
    <row r="20" customFormat="false" ht="15" hidden="false" customHeight="true" outlineLevel="0" collapsed="false">
      <c r="B20" s="4" t="s">
        <v>225</v>
      </c>
      <c r="C20" s="4"/>
      <c r="D20" s="4"/>
      <c r="E20" s="4"/>
      <c r="F20" s="4"/>
      <c r="G20" s="4"/>
      <c r="H20" s="4"/>
      <c r="I20" s="4"/>
      <c r="J20" s="4"/>
      <c r="K20" s="4"/>
    </row>
    <row r="22" customFormat="false" ht="15" hidden="false" customHeight="true" outlineLevel="0" collapsed="false">
      <c r="B22" s="33" t="s">
        <v>85</v>
      </c>
      <c r="C22" s="33" t="s">
        <v>226</v>
      </c>
      <c r="D22" s="33" t="s">
        <v>227</v>
      </c>
      <c r="E22" s="33" t="s">
        <v>228</v>
      </c>
      <c r="F22" s="33" t="s">
        <v>229</v>
      </c>
    </row>
    <row r="23" customFormat="false" ht="15" hidden="false" customHeight="true" outlineLevel="0" collapsed="false">
      <c r="B23" s="77"/>
      <c r="C23" s="77"/>
      <c r="D23" s="77"/>
      <c r="E23" s="77"/>
      <c r="F23" s="77"/>
    </row>
    <row r="24" customFormat="false" ht="15" hidden="false" customHeight="true" outlineLevel="0" collapsed="false">
      <c r="B24" s="77"/>
      <c r="C24" s="77"/>
      <c r="D24" s="77"/>
      <c r="E24" s="77"/>
      <c r="F24" s="77"/>
    </row>
    <row r="25" customFormat="false" ht="15" hidden="false" customHeight="true" outlineLevel="0" collapsed="false">
      <c r="B25" s="77"/>
      <c r="C25" s="77"/>
      <c r="D25" s="77"/>
      <c r="E25" s="77"/>
      <c r="F25" s="77"/>
    </row>
    <row r="26" customFormat="false" ht="15" hidden="false" customHeight="true" outlineLevel="0" collapsed="false">
      <c r="B26" s="77"/>
      <c r="C26" s="77"/>
      <c r="D26" s="77"/>
      <c r="E26" s="77"/>
      <c r="F26" s="77"/>
    </row>
    <row r="27" customFormat="false" ht="15" hidden="false" customHeight="true" outlineLevel="0" collapsed="false">
      <c r="B27" s="77"/>
      <c r="C27" s="77"/>
      <c r="D27" s="77"/>
      <c r="E27" s="77"/>
      <c r="F27" s="77"/>
    </row>
    <row r="28" customFormat="false" ht="15" hidden="false" customHeight="true" outlineLevel="0" collapsed="false">
      <c r="B28" s="77"/>
      <c r="C28" s="77"/>
      <c r="D28" s="77"/>
      <c r="E28" s="77"/>
      <c r="F28" s="77"/>
    </row>
    <row r="29" customFormat="false" ht="15" hidden="false" customHeight="true" outlineLevel="0" collapsed="false">
      <c r="B29" s="77"/>
      <c r="C29" s="77"/>
      <c r="D29" s="77"/>
      <c r="E29" s="77"/>
      <c r="F29" s="77"/>
    </row>
    <row r="30" customFormat="false" ht="15" hidden="false" customHeight="true" outlineLevel="0" collapsed="false">
      <c r="B30" s="77"/>
      <c r="C30" s="77"/>
      <c r="D30" s="77"/>
      <c r="E30" s="77"/>
      <c r="F30" s="77"/>
    </row>
    <row r="31" customFormat="false" ht="15" hidden="false" customHeight="true" outlineLevel="0" collapsed="false">
      <c r="B31" s="77"/>
      <c r="C31" s="77"/>
      <c r="D31" s="77"/>
      <c r="E31" s="77"/>
      <c r="F31" s="77"/>
    </row>
    <row r="32" customFormat="false" ht="15" hidden="false" customHeight="true" outlineLevel="0" collapsed="false">
      <c r="B32" s="77"/>
      <c r="C32" s="77"/>
      <c r="D32" s="77"/>
      <c r="E32" s="77"/>
      <c r="F32" s="77"/>
    </row>
    <row r="35" customFormat="false" ht="15" hidden="false" customHeight="true" outlineLevel="0" collapsed="false">
      <c r="B35" s="4" t="s">
        <v>230</v>
      </c>
      <c r="C35" s="4"/>
      <c r="D35" s="4"/>
      <c r="E35" s="4"/>
      <c r="F35" s="4"/>
      <c r="G35" s="4"/>
      <c r="H35" s="4"/>
      <c r="I35" s="4"/>
      <c r="J35" s="4"/>
      <c r="K35" s="4"/>
    </row>
    <row r="36" customFormat="false" ht="15" hidden="false" customHeight="true" outlineLevel="0" collapsed="false">
      <c r="B36" s="37" t="s">
        <v>231</v>
      </c>
      <c r="C36" s="37"/>
      <c r="D36" s="37"/>
      <c r="E36" s="37"/>
      <c r="F36" s="37"/>
      <c r="G36" s="37"/>
      <c r="H36" s="37"/>
      <c r="I36" s="37"/>
      <c r="J36" s="37"/>
    </row>
    <row r="37" customFormat="false" ht="15" hidden="false" customHeight="true" outlineLevel="0" collapsed="false">
      <c r="B37" s="37" t="s">
        <v>232</v>
      </c>
      <c r="C37" s="37"/>
      <c r="D37" s="37"/>
      <c r="E37" s="37"/>
      <c r="F37" s="37"/>
      <c r="G37" s="37"/>
      <c r="H37" s="37"/>
      <c r="I37" s="37"/>
      <c r="J37" s="37"/>
    </row>
    <row r="38" customFormat="false" ht="15" hidden="false" customHeight="true" outlineLevel="0" collapsed="false">
      <c r="B38" s="37" t="s">
        <v>233</v>
      </c>
      <c r="C38" s="37"/>
      <c r="D38" s="37"/>
      <c r="E38" s="37"/>
      <c r="F38" s="37"/>
      <c r="G38" s="37"/>
      <c r="H38" s="37"/>
      <c r="I38" s="37"/>
      <c r="J38" s="37"/>
    </row>
    <row r="39" customFormat="false" ht="15" hidden="false" customHeight="true" outlineLevel="0" collapsed="false">
      <c r="B39" s="37" t="s">
        <v>234</v>
      </c>
      <c r="C39" s="37"/>
      <c r="D39" s="37"/>
      <c r="E39" s="37"/>
      <c r="F39" s="37"/>
      <c r="G39" s="37"/>
      <c r="H39" s="37"/>
      <c r="I39" s="37"/>
      <c r="J39" s="37"/>
    </row>
    <row r="40" customFormat="false" ht="15" hidden="false" customHeight="true" outlineLevel="0" collapsed="false">
      <c r="B40" s="37" t="s">
        <v>235</v>
      </c>
      <c r="C40" s="37"/>
      <c r="D40" s="37"/>
      <c r="E40" s="37"/>
      <c r="F40" s="37"/>
      <c r="G40" s="37"/>
      <c r="H40" s="37"/>
      <c r="I40" s="37"/>
      <c r="J40" s="37"/>
    </row>
    <row r="41" customFormat="false" ht="15" hidden="false" customHeight="true" outlineLevel="0" collapsed="false">
      <c r="B41" s="37" t="s">
        <v>236</v>
      </c>
      <c r="C41" s="37"/>
      <c r="D41" s="37"/>
      <c r="E41" s="37"/>
      <c r="F41" s="37"/>
      <c r="G41" s="37"/>
      <c r="H41" s="37"/>
      <c r="I41" s="37"/>
      <c r="J41" s="37"/>
    </row>
    <row r="42" customFormat="false" ht="15" hidden="false" customHeight="true" outlineLevel="0" collapsed="false">
      <c r="B42" s="37" t="s">
        <v>237</v>
      </c>
      <c r="C42" s="37"/>
      <c r="D42" s="37"/>
      <c r="E42" s="37"/>
      <c r="F42" s="37"/>
      <c r="G42" s="37"/>
      <c r="H42" s="37"/>
      <c r="I42" s="37"/>
      <c r="J42" s="37"/>
    </row>
    <row r="43" customFormat="false" ht="15" hidden="false" customHeight="true" outlineLevel="0" collapsed="false">
      <c r="B43" s="37" t="s">
        <v>238</v>
      </c>
      <c r="C43" s="37"/>
      <c r="D43" s="37"/>
      <c r="E43" s="37"/>
      <c r="F43" s="37"/>
      <c r="G43" s="37"/>
      <c r="H43" s="37"/>
      <c r="I43" s="37"/>
      <c r="J43" s="37"/>
    </row>
    <row r="44" customFormat="false" ht="15" hidden="false" customHeight="true" outlineLevel="0" collapsed="false">
      <c r="B44" s="37" t="s">
        <v>239</v>
      </c>
      <c r="C44" s="37"/>
      <c r="D44" s="37"/>
      <c r="E44" s="37"/>
      <c r="F44" s="37"/>
      <c r="G44" s="37"/>
      <c r="H44" s="37"/>
      <c r="I44" s="37"/>
      <c r="J44" s="37"/>
    </row>
    <row r="45" customFormat="false" ht="15" hidden="false" customHeight="true" outlineLevel="0" collapsed="false">
      <c r="B45" s="37" t="s">
        <v>240</v>
      </c>
      <c r="C45" s="37"/>
      <c r="D45" s="37"/>
      <c r="E45" s="37"/>
      <c r="F45" s="37"/>
      <c r="G45" s="37"/>
      <c r="H45" s="37"/>
      <c r="I45" s="37"/>
      <c r="J45" s="37"/>
    </row>
  </sheetData>
  <mergeCells count="14">
    <mergeCell ref="B2:K2"/>
    <mergeCell ref="B3:K3"/>
    <mergeCell ref="B20:K20"/>
    <mergeCell ref="B35:K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5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6" min="6" style="1" width="18"/>
    <col collapsed="false" customWidth="true" hidden="false" outlineLevel="0" max="7" min="7" style="1" width="60"/>
  </cols>
  <sheetData>
    <row r="2" customFormat="false" ht="17.25" hidden="false" customHeight="true" outlineLevel="0" collapsed="false">
      <c r="B2" s="78" t="s">
        <v>241</v>
      </c>
    </row>
    <row r="3" customFormat="false" ht="15" hidden="false" customHeight="true" outlineLevel="0" collapsed="false">
      <c r="B3" s="40" t="s">
        <v>242</v>
      </c>
    </row>
    <row r="5" customFormat="false" ht="15" hidden="false" customHeight="true" outlineLevel="0" collapsed="false">
      <c r="B5" s="38" t="s">
        <v>243</v>
      </c>
    </row>
    <row r="7" customFormat="false" ht="15" hidden="false" customHeight="true" outlineLevel="0" collapsed="false">
      <c r="B7" s="18" t="s">
        <v>244</v>
      </c>
      <c r="C7" s="18" t="s">
        <v>245</v>
      </c>
      <c r="D7" s="18" t="s">
        <v>246</v>
      </c>
      <c r="E7" s="46" t="s">
        <v>247</v>
      </c>
      <c r="F7" s="18" t="s">
        <v>248</v>
      </c>
      <c r="G7" s="18" t="s">
        <v>249</v>
      </c>
    </row>
    <row r="8" customFormat="false" ht="15" hidden="false" customHeight="true" outlineLevel="0" collapsed="false">
      <c r="B8" s="1" t="s">
        <v>250</v>
      </c>
      <c r="C8" s="1" t="n">
        <v>2.5</v>
      </c>
      <c r="D8" s="1" t="n">
        <v>100</v>
      </c>
      <c r="E8" s="1" t="n">
        <v>0.1</v>
      </c>
      <c r="F8" s="1" t="n">
        <f aca="false">MAX(C8, D8*E8)</f>
        <v>10</v>
      </c>
      <c r="G8" s="1" t="s">
        <v>251</v>
      </c>
    </row>
    <row r="9" customFormat="false" ht="15" hidden="false" customHeight="true" outlineLevel="0" collapsed="false">
      <c r="B9" s="1" t="s">
        <v>252</v>
      </c>
      <c r="C9" s="1" t="n">
        <v>40</v>
      </c>
      <c r="D9" s="1" t="n">
        <v>200</v>
      </c>
      <c r="E9" s="1" t="n">
        <v>0.2</v>
      </c>
      <c r="F9" s="1" t="n">
        <f aca="false">MAX(C9, D9*E9)</f>
        <v>40</v>
      </c>
      <c r="G9" s="11" t="s">
        <v>253</v>
      </c>
    </row>
    <row r="10" customFormat="false" ht="15" hidden="false" customHeight="true" outlineLevel="0" collapsed="false">
      <c r="B10" s="1" t="s">
        <v>254</v>
      </c>
      <c r="C10" s="1" t="n">
        <v>0</v>
      </c>
      <c r="D10" s="1" t="n">
        <v>100</v>
      </c>
      <c r="E10" s="1" t="n">
        <v>0.05</v>
      </c>
      <c r="F10" s="1" t="n">
        <f aca="false">MAX(C10, D10*E10)</f>
        <v>5</v>
      </c>
      <c r="G10" s="1" t="s">
        <v>255</v>
      </c>
    </row>
    <row r="11" customFormat="false" ht="15" hidden="false" customHeight="true" outlineLevel="0" collapsed="false">
      <c r="B11" s="1" t="s">
        <v>256</v>
      </c>
      <c r="C11" s="1" t="n">
        <v>0</v>
      </c>
      <c r="D11" s="1" t="n">
        <v>80</v>
      </c>
      <c r="E11" s="1" t="n">
        <v>0.05</v>
      </c>
      <c r="F11" s="1" t="n">
        <f aca="false">MAX(C11, D11*E11)</f>
        <v>4</v>
      </c>
      <c r="G11" s="1" t="s">
        <v>257</v>
      </c>
    </row>
    <row r="12" customFormat="false" ht="15" hidden="false" customHeight="true" outlineLevel="0" collapsed="false">
      <c r="B12" s="1" t="s">
        <v>258</v>
      </c>
      <c r="C12" s="1" t="n">
        <v>0</v>
      </c>
      <c r="D12" s="1" t="n">
        <v>50</v>
      </c>
      <c r="E12" s="1" t="n">
        <v>0.1</v>
      </c>
      <c r="F12" s="1" t="n">
        <f aca="false">MAX(C12, D12*E12)</f>
        <v>5</v>
      </c>
      <c r="G12" s="11" t="s">
        <v>259</v>
      </c>
    </row>
    <row r="13" customFormat="false" ht="15" hidden="false" customHeight="true" outlineLevel="0" collapsed="false">
      <c r="B13" s="15" t="s">
        <v>260</v>
      </c>
      <c r="F13" s="49" t="n">
        <f aca="false">SUM(F8:F12)</f>
        <v>64</v>
      </c>
    </row>
    <row r="15" customFormat="false" ht="15" hidden="false" customHeight="true" outlineLevel="0" collapsed="false">
      <c r="B15" s="38" t="s">
        <v>261</v>
      </c>
    </row>
    <row r="17" customFormat="false" ht="15" hidden="false" customHeight="true" outlineLevel="0" collapsed="false">
      <c r="B17" s="11" t="s">
        <v>262</v>
      </c>
      <c r="C17" s="1" t="n">
        <v>0.7</v>
      </c>
      <c r="D17" s="11" t="s">
        <v>263</v>
      </c>
    </row>
    <row r="18" customFormat="false" ht="15" hidden="false" customHeight="true" outlineLevel="0" collapsed="false">
      <c r="B18" s="1" t="s">
        <v>264</v>
      </c>
      <c r="C18" s="1" t="n">
        <f aca="false">1/(1+0.1)^5</f>
        <v>0.620921323059155</v>
      </c>
      <c r="D18" s="11" t="s">
        <v>265</v>
      </c>
    </row>
    <row r="19" customFormat="false" ht="15" hidden="false" customHeight="true" outlineLevel="0" collapsed="false">
      <c r="B19" s="11" t="s">
        <v>266</v>
      </c>
      <c r="F19" s="15" t="n">
        <f aca="false">F13*C17*C18</f>
        <v>27.8172752730501</v>
      </c>
    </row>
    <row r="20" customFormat="false" ht="15" hidden="false" customHeight="true" outlineLevel="0" collapsed="false">
      <c r="B20" s="53" t="s">
        <v>267</v>
      </c>
      <c r="F20" s="79" t="n">
        <f aca="false">F19</f>
        <v>27.8172752730501</v>
      </c>
    </row>
    <row r="22" customFormat="false" ht="15" hidden="false" customHeight="true" outlineLevel="0" collapsed="false">
      <c r="B22" s="38" t="s">
        <v>268</v>
      </c>
    </row>
    <row r="23" customFormat="false" ht="15" hidden="false" customHeight="true" outlineLevel="0" collapsed="false">
      <c r="B23" s="1" t="s">
        <v>269</v>
      </c>
    </row>
    <row r="24" customFormat="false" ht="15" hidden="false" customHeight="true" outlineLevel="0" collapsed="false">
      <c r="B24" s="1" t="s">
        <v>270</v>
      </c>
    </row>
    <row r="25" customFormat="false" ht="15" hidden="false" customHeight="true" outlineLevel="0" collapsed="false">
      <c r="B25" s="1" t="s">
        <v>271</v>
      </c>
    </row>
    <row r="26" customFormat="false" ht="15" hidden="false" customHeight="true" outlineLevel="0" collapsed="false">
      <c r="B26" s="1" t="s">
        <v>272</v>
      </c>
    </row>
    <row r="27" customFormat="false" ht="15" hidden="false" customHeight="true" outlineLevel="0" collapsed="false">
      <c r="B27" s="1" t="s">
        <v>273</v>
      </c>
    </row>
    <row r="28" customFormat="false" ht="15" hidden="false" customHeight="true" outlineLevel="0" collapsed="false"/>
    <row r="29" customFormat="false" ht="15" hidden="false" customHeight="true" outlineLevel="0" collapsed="false">
      <c r="B29" s="11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2"/>
    <col collapsed="false" customWidth="true" hidden="false" outlineLevel="0" max="7" min="3" style="1" width="14"/>
    <col collapsed="false" customWidth="true" hidden="false" outlineLevel="0" max="8" min="8" style="1" width="35"/>
  </cols>
  <sheetData>
    <row r="2" customFormat="false" ht="17.25" hidden="false" customHeight="true" outlineLevel="0" collapsed="false">
      <c r="B2" s="80" t="s">
        <v>275</v>
      </c>
    </row>
    <row r="3" customFormat="false" ht="15" hidden="false" customHeight="true" outlineLevel="0" collapsed="false">
      <c r="B3" s="40" t="s">
        <v>276</v>
      </c>
    </row>
    <row r="5" customFormat="false" ht="15" hidden="false" customHeight="true" outlineLevel="0" collapsed="false">
      <c r="B5" s="81" t="s">
        <v>277</v>
      </c>
    </row>
    <row r="7" customFormat="false" ht="15" hidden="false" customHeight="true" outlineLevel="0" collapsed="false">
      <c r="B7" s="46" t="s">
        <v>278</v>
      </c>
      <c r="C7" s="46" t="s">
        <v>213</v>
      </c>
      <c r="D7" s="46" t="s">
        <v>214</v>
      </c>
      <c r="E7" s="46" t="s">
        <v>215</v>
      </c>
      <c r="F7" s="46" t="s">
        <v>216</v>
      </c>
      <c r="G7" s="18" t="s">
        <v>279</v>
      </c>
      <c r="H7" s="18" t="s">
        <v>25</v>
      </c>
    </row>
    <row r="8" customFormat="false" ht="15" hidden="false" customHeight="true" outlineLevel="0" collapsed="false">
      <c r="B8" s="1" t="s">
        <v>280</v>
      </c>
      <c r="C8" s="1" t="s">
        <v>281</v>
      </c>
      <c r="G8" s="1" t="s">
        <v>282</v>
      </c>
      <c r="H8" s="1" t="s">
        <v>283</v>
      </c>
    </row>
    <row r="9" customFormat="false" ht="15" hidden="false" customHeight="true" outlineLevel="0" collapsed="false">
      <c r="B9" s="1" t="s">
        <v>284</v>
      </c>
      <c r="C9" s="1" t="s">
        <v>285</v>
      </c>
      <c r="G9" s="1" t="s">
        <v>286</v>
      </c>
      <c r="H9" s="11" t="s">
        <v>287</v>
      </c>
    </row>
    <row r="10" customFormat="false" ht="15" hidden="false" customHeight="true" outlineLevel="0" collapsed="false">
      <c r="B10" s="1" t="s">
        <v>288</v>
      </c>
      <c r="C10" s="1" t="s">
        <v>289</v>
      </c>
      <c r="G10" s="11" t="s">
        <v>290</v>
      </c>
      <c r="H10" s="1" t="s">
        <v>291</v>
      </c>
    </row>
    <row r="11" customFormat="false" ht="15" hidden="false" customHeight="true" outlineLevel="0" collapsed="false">
      <c r="B11" s="1" t="s">
        <v>292</v>
      </c>
      <c r="C11" s="1" t="s">
        <v>293</v>
      </c>
      <c r="G11" s="1" t="s">
        <v>294</v>
      </c>
      <c r="H11" s="1" t="s">
        <v>295</v>
      </c>
    </row>
    <row r="12" customFormat="false" ht="15" hidden="false" customHeight="true" outlineLevel="0" collapsed="false">
      <c r="B12" s="1" t="s">
        <v>296</v>
      </c>
      <c r="C12" s="1" t="s">
        <v>297</v>
      </c>
      <c r="G12" s="1" t="s">
        <v>298</v>
      </c>
      <c r="H12" s="11" t="s">
        <v>299</v>
      </c>
    </row>
    <row r="14" customFormat="false" ht="15" hidden="false" customHeight="true" outlineLevel="0" collapsed="false">
      <c r="B14" s="81" t="s">
        <v>300</v>
      </c>
    </row>
    <row r="16" customFormat="false" ht="15" hidden="false" customHeight="true" outlineLevel="0" collapsed="false">
      <c r="B16" s="46" t="s">
        <v>278</v>
      </c>
      <c r="C16" s="46" t="s">
        <v>213</v>
      </c>
      <c r="D16" s="46" t="s">
        <v>214</v>
      </c>
      <c r="E16" s="46" t="s">
        <v>215</v>
      </c>
      <c r="F16" s="46" t="s">
        <v>216</v>
      </c>
      <c r="G16" s="18" t="s">
        <v>279</v>
      </c>
      <c r="H16" s="18" t="s">
        <v>25</v>
      </c>
    </row>
    <row r="17" customFormat="false" ht="15" hidden="false" customHeight="true" outlineLevel="0" collapsed="false">
      <c r="B17" s="1" t="s">
        <v>301</v>
      </c>
      <c r="C17" s="1" t="s">
        <v>302</v>
      </c>
      <c r="G17" s="1" t="s">
        <v>303</v>
      </c>
      <c r="H17" s="1" t="s">
        <v>304</v>
      </c>
    </row>
    <row r="18" customFormat="false" ht="15" hidden="false" customHeight="true" outlineLevel="0" collapsed="false">
      <c r="B18" s="1" t="s">
        <v>305</v>
      </c>
      <c r="C18" s="1" t="s">
        <v>306</v>
      </c>
      <c r="G18" s="1" t="s">
        <v>307</v>
      </c>
      <c r="H18" s="11" t="s">
        <v>308</v>
      </c>
    </row>
    <row r="19" customFormat="false" ht="15" hidden="false" customHeight="true" outlineLevel="0" collapsed="false">
      <c r="B19" s="1" t="s">
        <v>309</v>
      </c>
      <c r="C19" s="1" t="s">
        <v>310</v>
      </c>
      <c r="G19" s="11" t="s">
        <v>311</v>
      </c>
      <c r="H19" s="1" t="s">
        <v>312</v>
      </c>
    </row>
    <row r="20" customFormat="false" ht="15" hidden="false" customHeight="true" outlineLevel="0" collapsed="false">
      <c r="B20" s="1" t="s">
        <v>313</v>
      </c>
      <c r="C20" s="1" t="s">
        <v>314</v>
      </c>
      <c r="G20" s="11" t="s">
        <v>315</v>
      </c>
      <c r="H20" s="1" t="s">
        <v>316</v>
      </c>
    </row>
    <row r="21" customFormat="false" ht="15" hidden="false" customHeight="true" outlineLevel="0" collapsed="false">
      <c r="B21" s="1" t="s">
        <v>317</v>
      </c>
      <c r="C21" s="1" t="s">
        <v>318</v>
      </c>
      <c r="G21" s="11" t="s">
        <v>319</v>
      </c>
      <c r="H21" s="11" t="s">
        <v>320</v>
      </c>
    </row>
    <row r="22" customFormat="false" ht="15" hidden="false" customHeight="true" outlineLevel="0" collapsed="false">
      <c r="B22" s="11" t="s">
        <v>321</v>
      </c>
      <c r="C22" s="11" t="s">
        <v>322</v>
      </c>
      <c r="G22" s="11" t="s">
        <v>323</v>
      </c>
      <c r="H22" s="1" t="s">
        <v>324</v>
      </c>
    </row>
    <row r="24" customFormat="false" ht="15" hidden="false" customHeight="true" outlineLevel="0" collapsed="false">
      <c r="B24" s="81" t="s">
        <v>325</v>
      </c>
    </row>
    <row r="26" customFormat="false" ht="15" hidden="false" customHeight="true" outlineLevel="0" collapsed="false">
      <c r="B26" s="46" t="s">
        <v>278</v>
      </c>
      <c r="C26" s="46" t="s">
        <v>213</v>
      </c>
      <c r="D26" s="46" t="s">
        <v>214</v>
      </c>
      <c r="E26" s="46" t="s">
        <v>215</v>
      </c>
      <c r="F26" s="46" t="s">
        <v>216</v>
      </c>
      <c r="G26" s="18" t="s">
        <v>279</v>
      </c>
      <c r="H26" s="18" t="s">
        <v>25</v>
      </c>
    </row>
    <row r="27" customFormat="false" ht="15" hidden="false" customHeight="true" outlineLevel="0" collapsed="false">
      <c r="B27" s="11" t="s">
        <v>326</v>
      </c>
      <c r="C27" s="1" t="s">
        <v>327</v>
      </c>
      <c r="G27" s="1" t="s">
        <v>328</v>
      </c>
      <c r="H27" s="11" t="s">
        <v>329</v>
      </c>
    </row>
    <row r="28" customFormat="false" ht="15" hidden="false" customHeight="true" outlineLevel="0" collapsed="false">
      <c r="B28" s="11" t="s">
        <v>330</v>
      </c>
      <c r="C28" s="1" t="s">
        <v>331</v>
      </c>
      <c r="G28" s="11" t="s">
        <v>315</v>
      </c>
      <c r="H28" s="1" t="s">
        <v>332</v>
      </c>
    </row>
    <row r="29" customFormat="false" ht="15" hidden="false" customHeight="true" outlineLevel="0" collapsed="false">
      <c r="B29" s="1" t="s">
        <v>333</v>
      </c>
      <c r="C29" s="1" t="s">
        <v>334</v>
      </c>
      <c r="G29" s="1" t="s">
        <v>335</v>
      </c>
      <c r="H29" s="11" t="s">
        <v>336</v>
      </c>
    </row>
    <row r="30" customFormat="false" ht="15" hidden="false" customHeight="true" outlineLevel="0" collapsed="false">
      <c r="B30" s="1" t="s">
        <v>337</v>
      </c>
      <c r="C30" s="1" t="s">
        <v>338</v>
      </c>
      <c r="G30" s="1" t="s">
        <v>339</v>
      </c>
      <c r="H30" s="11" t="s">
        <v>340</v>
      </c>
    </row>
    <row r="33" customFormat="false" ht="15" hidden="false" customHeight="true" outlineLevel="0" collapsed="false">
      <c r="B33" s="81" t="s">
        <v>341</v>
      </c>
    </row>
    <row r="35" customFormat="false" ht="15" hidden="false" customHeight="true" outlineLevel="0" collapsed="false">
      <c r="B35" s="18" t="s">
        <v>342</v>
      </c>
      <c r="C35" s="18" t="s">
        <v>343</v>
      </c>
      <c r="D35" s="18" t="s">
        <v>344</v>
      </c>
      <c r="E35" s="18" t="s">
        <v>345</v>
      </c>
      <c r="F35" s="18" t="s">
        <v>346</v>
      </c>
    </row>
    <row r="36" customFormat="false" ht="15" hidden="false" customHeight="true" outlineLevel="0" collapsed="false">
      <c r="B36" s="1" t="s">
        <v>250</v>
      </c>
      <c r="C36" s="11" t="s">
        <v>347</v>
      </c>
      <c r="D36" s="1" t="s">
        <v>348</v>
      </c>
      <c r="E36" s="1" t="s">
        <v>349</v>
      </c>
      <c r="F36" s="11" t="s">
        <v>350</v>
      </c>
    </row>
    <row r="37" customFormat="false" ht="15" hidden="false" customHeight="true" outlineLevel="0" collapsed="false">
      <c r="B37" s="1" t="s">
        <v>351</v>
      </c>
      <c r="C37" s="11" t="s">
        <v>352</v>
      </c>
      <c r="D37" s="1" t="s">
        <v>353</v>
      </c>
      <c r="E37" s="1" t="s">
        <v>354</v>
      </c>
      <c r="F37" s="11" t="s">
        <v>355</v>
      </c>
    </row>
    <row r="38" customFormat="false" ht="15" hidden="false" customHeight="true" outlineLevel="0" collapsed="false">
      <c r="B38" s="1" t="s">
        <v>356</v>
      </c>
      <c r="C38" s="11" t="s">
        <v>357</v>
      </c>
      <c r="D38" s="11" t="s">
        <v>358</v>
      </c>
      <c r="E38" s="1" t="s">
        <v>359</v>
      </c>
      <c r="F38" s="11" t="s">
        <v>360</v>
      </c>
    </row>
    <row r="39" customFormat="false" ht="15" hidden="false" customHeight="true" outlineLevel="0" collapsed="false">
      <c r="B39" s="1" t="s">
        <v>361</v>
      </c>
      <c r="C39" s="11" t="s">
        <v>362</v>
      </c>
      <c r="D39" s="11" t="s">
        <v>363</v>
      </c>
      <c r="E39" s="1" t="s">
        <v>359</v>
      </c>
      <c r="F39" s="11" t="s">
        <v>364</v>
      </c>
    </row>
    <row r="40" customFormat="false" ht="15" hidden="false" customHeight="true" outlineLevel="0" collapsed="false">
      <c r="B40" s="1" t="s">
        <v>365</v>
      </c>
      <c r="C40" s="11" t="s">
        <v>366</v>
      </c>
      <c r="D40" s="11" t="s">
        <v>367</v>
      </c>
      <c r="E40" s="1" t="s">
        <v>354</v>
      </c>
      <c r="F40" s="11" t="s">
        <v>368</v>
      </c>
    </row>
    <row r="43" customFormat="false" ht="15" hidden="false" customHeight="true" outlineLevel="0" collapsed="false">
      <c r="B43" s="38" t="s">
        <v>369</v>
      </c>
    </row>
    <row r="44" customFormat="false" ht="15" hidden="false" customHeight="true" outlineLevel="0" collapsed="false">
      <c r="B44" s="1" t="s">
        <v>370</v>
      </c>
    </row>
    <row r="45" customFormat="false" ht="15" hidden="false" customHeight="true" outlineLevel="0" collapsed="false">
      <c r="B45" s="1" t="s">
        <v>371</v>
      </c>
    </row>
    <row r="46" customFormat="false" ht="15" hidden="false" customHeight="true" outlineLevel="0" collapsed="false">
      <c r="B46" s="1" t="s">
        <v>372</v>
      </c>
    </row>
    <row r="47" customFormat="false" ht="15" hidden="false" customHeight="true" outlineLevel="0" collapsed="false">
      <c r="B47" s="1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2026-05-08T07:40:25Z</dcterms:created>
  <dc:creator>openpyxl</dc:creator>
  <dc:description/>
  <dc:language>en-US</dc:language>
  <cp:lastModifiedBy>wang weiguang</cp:lastModifiedBy>
  <dcterms:modified xsi:type="dcterms:W3CDTF">2026-05-08T10:43:01Z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